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takum\OneDrive\ドキュメント\GitHub\Split_keyboard_analog_pad\"/>
    </mc:Choice>
  </mc:AlternateContent>
  <bookViews>
    <workbookView xWindow="0" yWindow="0" windowWidth="34725" windowHeight="16110" activeTab="2"/>
  </bookViews>
  <sheets>
    <sheet name="Sheet1" sheetId="1" r:id="rId1"/>
    <sheet name="Sheet2" sheetId="2" r:id="rId2"/>
    <sheet name="Sheet3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8" i="1" l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3" i="1"/>
  <c r="P64" i="1"/>
  <c r="P65" i="1"/>
  <c r="P66" i="1"/>
  <c r="P67" i="1"/>
  <c r="K67" i="1"/>
  <c r="J67" i="1"/>
  <c r="K66" i="1"/>
  <c r="J66" i="1"/>
  <c r="K65" i="1"/>
  <c r="J65" i="1"/>
  <c r="K64" i="1"/>
  <c r="J64" i="1"/>
  <c r="K63" i="1"/>
  <c r="J63" i="1"/>
  <c r="J62" i="1"/>
  <c r="K61" i="1"/>
  <c r="P61" i="1" s="1"/>
  <c r="J61" i="1"/>
  <c r="K60" i="1"/>
  <c r="J60" i="1"/>
  <c r="K59" i="1"/>
  <c r="J59" i="1"/>
  <c r="K58" i="1"/>
  <c r="J58" i="1"/>
  <c r="K57" i="1"/>
  <c r="J57" i="1"/>
  <c r="K56" i="1"/>
  <c r="J56" i="1"/>
  <c r="K55" i="1"/>
  <c r="J55" i="1"/>
  <c r="K54" i="1"/>
  <c r="J54" i="1"/>
  <c r="K53" i="1"/>
  <c r="J53" i="1"/>
  <c r="K52" i="1"/>
  <c r="J52" i="1"/>
  <c r="K51" i="1"/>
  <c r="J51" i="1"/>
  <c r="K50" i="1"/>
  <c r="J50" i="1"/>
  <c r="K49" i="1"/>
  <c r="J49" i="1"/>
  <c r="K48" i="1"/>
  <c r="J48" i="1"/>
  <c r="K47" i="1"/>
  <c r="J47" i="1"/>
  <c r="K46" i="1"/>
  <c r="J46" i="1"/>
  <c r="K45" i="1"/>
  <c r="J45" i="1"/>
  <c r="K44" i="1"/>
  <c r="J44" i="1"/>
  <c r="K43" i="1"/>
  <c r="J43" i="1"/>
  <c r="K42" i="1"/>
  <c r="J42" i="1"/>
  <c r="K41" i="1"/>
  <c r="J41" i="1"/>
  <c r="K40" i="1"/>
  <c r="J40" i="1"/>
  <c r="K39" i="1"/>
  <c r="J39" i="1"/>
  <c r="K38" i="1"/>
  <c r="J38" i="1"/>
  <c r="K37" i="1"/>
  <c r="J37" i="1"/>
  <c r="K36" i="1"/>
  <c r="J36" i="1"/>
  <c r="K35" i="1"/>
  <c r="J35" i="1"/>
  <c r="K34" i="1"/>
  <c r="J34" i="1"/>
  <c r="K33" i="1"/>
  <c r="J33" i="1"/>
  <c r="K32" i="1"/>
  <c r="J32" i="1"/>
  <c r="K31" i="1"/>
  <c r="J31" i="1"/>
  <c r="K30" i="1"/>
  <c r="J30" i="1"/>
  <c r="K29" i="1"/>
  <c r="J29" i="1"/>
  <c r="K28" i="1"/>
  <c r="J28" i="1"/>
  <c r="K27" i="1"/>
  <c r="J27" i="1"/>
  <c r="K26" i="1"/>
  <c r="J26" i="1"/>
  <c r="K25" i="1"/>
  <c r="J25" i="1"/>
  <c r="K24" i="1"/>
  <c r="J24" i="1"/>
  <c r="K23" i="1"/>
  <c r="J23" i="1"/>
  <c r="K22" i="1"/>
  <c r="J22" i="1"/>
  <c r="K21" i="1"/>
  <c r="J21" i="1"/>
  <c r="K20" i="1"/>
  <c r="J20" i="1"/>
  <c r="K19" i="1"/>
  <c r="J19" i="1"/>
  <c r="K18" i="1"/>
  <c r="J18" i="1"/>
  <c r="K17" i="1"/>
  <c r="J17" i="1"/>
  <c r="K16" i="1"/>
  <c r="J16" i="1"/>
  <c r="K15" i="1"/>
  <c r="J15" i="1"/>
  <c r="K14" i="1"/>
  <c r="J14" i="1"/>
  <c r="K13" i="1"/>
  <c r="J13" i="1"/>
  <c r="K12" i="1"/>
  <c r="J12" i="1"/>
  <c r="K11" i="1"/>
  <c r="J11" i="1"/>
  <c r="K10" i="1"/>
  <c r="J10" i="1"/>
  <c r="M9" i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K9" i="1"/>
  <c r="J9" i="1"/>
  <c r="M8" i="1"/>
  <c r="K8" i="1"/>
  <c r="J8" i="1"/>
  <c r="E67" i="1"/>
  <c r="E66" i="1"/>
  <c r="E65" i="1"/>
  <c r="E64" i="1"/>
  <c r="E63" i="1"/>
  <c r="E62" i="1"/>
  <c r="K62" i="1" s="1"/>
  <c r="P62" i="1" s="1"/>
  <c r="E43" i="1"/>
  <c r="E44" i="1"/>
  <c r="E45" i="1"/>
  <c r="E46" i="1"/>
  <c r="E47" i="1"/>
  <c r="E48" i="1"/>
  <c r="E49" i="1"/>
  <c r="E50" i="1"/>
  <c r="E51" i="1"/>
  <c r="E42" i="1"/>
  <c r="E17" i="1"/>
  <c r="E18" i="1"/>
  <c r="E19" i="1"/>
  <c r="E20" i="1"/>
  <c r="E21" i="1"/>
  <c r="E22" i="1"/>
  <c r="E23" i="1"/>
  <c r="E24" i="1"/>
  <c r="E25" i="1"/>
  <c r="E26" i="1"/>
  <c r="E27" i="1"/>
  <c r="E16" i="1"/>
  <c r="M3" i="1"/>
  <c r="M4" i="1" s="1"/>
  <c r="M5" i="1" s="1"/>
  <c r="M6" i="1" s="1"/>
  <c r="M7" i="1" s="1"/>
  <c r="J3" i="1"/>
  <c r="K3" i="1"/>
  <c r="J4" i="1"/>
  <c r="K4" i="1"/>
  <c r="J5" i="1"/>
  <c r="K5" i="1"/>
  <c r="J6" i="1"/>
  <c r="P6" i="1" s="1"/>
  <c r="K6" i="1"/>
  <c r="J7" i="1"/>
  <c r="P7" i="1" s="1"/>
  <c r="K7" i="1"/>
  <c r="K2" i="1"/>
  <c r="J2" i="1"/>
  <c r="P2" i="1" s="1"/>
  <c r="B3" i="1"/>
  <c r="E52" i="1" l="1"/>
  <c r="P4" i="1"/>
  <c r="P5" i="1"/>
  <c r="P3" i="1"/>
  <c r="B4" i="1"/>
  <c r="B5" i="1" s="1"/>
  <c r="B6" i="1" s="1"/>
  <c r="E53" i="1" l="1"/>
  <c r="B7" i="1"/>
  <c r="E54" i="1" l="1"/>
  <c r="E55" i="1"/>
</calcChain>
</file>

<file path=xl/sharedStrings.xml><?xml version="1.0" encoding="utf-8"?>
<sst xmlns="http://schemas.openxmlformats.org/spreadsheetml/2006/main" count="214" uniqueCount="86">
  <si>
    <t>X</t>
    <phoneticPr fontId="1"/>
  </si>
  <si>
    <t>Y</t>
    <phoneticPr fontId="1"/>
  </si>
  <si>
    <t>Col</t>
    <phoneticPr fontId="1"/>
  </si>
  <si>
    <t>Row</t>
    <phoneticPr fontId="1"/>
  </si>
  <si>
    <t>X_size</t>
    <phoneticPr fontId="1"/>
  </si>
  <si>
    <t>Y_size</t>
    <phoneticPr fontId="1"/>
  </si>
  <si>
    <t>中心座標_X</t>
    <rPh sb="0" eb="4">
      <t>チュウシンザヒョウ</t>
    </rPh>
    <phoneticPr fontId="1"/>
  </si>
  <si>
    <t>中心座標_Y</t>
    <rPh sb="0" eb="4">
      <t>チュウシンザヒョウ</t>
    </rPh>
    <phoneticPr fontId="1"/>
  </si>
  <si>
    <t>Rotation</t>
    <phoneticPr fontId="1"/>
  </si>
  <si>
    <t>キーindex</t>
    <phoneticPr fontId="1"/>
  </si>
  <si>
    <t>note</t>
    <phoneticPr fontId="1"/>
  </si>
  <si>
    <t>=</t>
    <phoneticPr fontId="1"/>
  </si>
  <si>
    <t>,</t>
    <phoneticPr fontId="1"/>
  </si>
  <si>
    <t>;</t>
    <phoneticPr fontId="1"/>
  </si>
  <si>
    <t>COL</t>
    <phoneticPr fontId="1"/>
  </si>
  <si>
    <t xml:space="preserve">            =</t>
  </si>
  <si>
    <t>&lt;&amp;key_physical_attrs 100 100 50 100 50 100 0 &gt;</t>
  </si>
  <si>
    <t xml:space="preserve">            ,</t>
  </si>
  <si>
    <t>&lt;&amp;key_physical_attrs 100 100 150 100 150 100 0 &gt;</t>
  </si>
  <si>
    <t>&lt;&amp;key_physical_attrs 100 100 250 75 250 75 0 &gt;</t>
  </si>
  <si>
    <t>&lt;&amp;key_physical_attrs 100 100 350 50 350 50 0 &gt;</t>
  </si>
  <si>
    <t>&lt;&amp;key_physical_attrs 100 100 450 100 450 100 0 &gt;</t>
  </si>
  <si>
    <t>&lt;&amp;key_physical_attrs 100 100 550 100 550 100 0 &gt;</t>
  </si>
  <si>
    <t>&lt;&amp;key_physical_attrs 100 100 950 100 950 100 0 &gt;</t>
  </si>
  <si>
    <t>&lt;&amp;key_physical_attrs 100 100 1050 100 1050 100 0 &gt;</t>
  </si>
  <si>
    <t>&lt;&amp;key_physical_attrs 100 100 1150 50 1150 50 0 &gt;</t>
  </si>
  <si>
    <t>&lt;&amp;key_physical_attrs 100 100 1250 75 1250 75 0 &gt;</t>
  </si>
  <si>
    <t>&lt;&amp;key_physical_attrs 100 100 1350 100 1350 100 0 &gt;</t>
  </si>
  <si>
    <t>&lt;&amp;key_physical_attrs 100 100 1450 100 1450 100 0 &gt;</t>
  </si>
  <si>
    <t>&lt;&amp;key_physical_attrs 100 100 650 450 650 450 0 &gt;</t>
  </si>
  <si>
    <t>&lt;&amp;key_physical_attrs 100 100 850 450 850 450 0 &gt;</t>
  </si>
  <si>
    <t>&lt;&amp;key_physical_attrs 100 100 50 200 50 200 0 &gt;</t>
  </si>
  <si>
    <t>&lt;&amp;key_physical_attrs 100 100 150 200 150 200 0 &gt;</t>
  </si>
  <si>
    <t>&lt;&amp;key_physical_attrs 100 100 250 175 250 175 0 &gt;</t>
  </si>
  <si>
    <t>&lt;&amp;key_physical_attrs 100 100 350 150 350 150 0 &gt;</t>
  </si>
  <si>
    <t>&lt;&amp;key_physical_attrs 100 100 450 200 450 200 0 &gt;</t>
  </si>
  <si>
    <t>&lt;&amp;key_physical_attrs 100 100 550 200 550 200 0 &gt;</t>
  </si>
  <si>
    <t>&lt;&amp;key_physical_attrs 100 100 950 200 950 200 0 &gt;</t>
  </si>
  <si>
    <t>&lt;&amp;key_physical_attrs 100 100 1050 200 1050 200 0 &gt;</t>
  </si>
  <si>
    <t>&lt;&amp;key_physical_attrs 100 100 1150 150 1150 150 0 &gt;</t>
  </si>
  <si>
    <t>&lt;&amp;key_physical_attrs 100 100 1250 175 1250 175 0 &gt;</t>
  </si>
  <si>
    <t>&lt;&amp;key_physical_attrs 100 100 1350 200 1350 200 0 &gt;</t>
  </si>
  <si>
    <t>&lt;&amp;key_physical_attrs 100 100 1450 200 1450 200 0 &gt;</t>
  </si>
  <si>
    <t>&lt;&amp;key_physical_attrs 100 100 50 300 50 300 0 &gt;</t>
  </si>
  <si>
    <t>&lt;&amp;key_physical_attrs 100 100 150 300 150 300 0 &gt;</t>
  </si>
  <si>
    <t>&lt;&amp;key_physical_attrs 100 100 250 275 250 275 0 &gt;</t>
  </si>
  <si>
    <t>&lt;&amp;key_physical_attrs 100 100 350 250 350 250 0 &gt;</t>
  </si>
  <si>
    <t>&lt;&amp;key_physical_attrs 100 100 450 300 450 300 0 &gt;</t>
  </si>
  <si>
    <t>&lt;&amp;key_physical_attrs 100 100 550 300 550 300 0 &gt;</t>
  </si>
  <si>
    <t>&lt;&amp;key_physical_attrs 100 100 650 300 650 300 0 &gt;</t>
  </si>
  <si>
    <t>&lt;&amp;key_physical_attrs 100 100 850 300 850 300 0 &gt;</t>
  </si>
  <si>
    <t>&lt;&amp;key_physical_attrs 100 100 950 300 950 300 0 &gt;</t>
  </si>
  <si>
    <t>&lt;&amp;key_physical_attrs 100 100 1050 300 1050 300 0 &gt;</t>
  </si>
  <si>
    <t>&lt;&amp;key_physical_attrs 100 100 1150 250 1150 250 0 &gt;</t>
  </si>
  <si>
    <t>&lt;&amp;key_physical_attrs 100 100 1250 275 1250 275 0 &gt;</t>
  </si>
  <si>
    <t>&lt;&amp;key_physical_attrs 100 100 1350 300 1350 300 0 &gt;</t>
  </si>
  <si>
    <t>&lt;&amp;key_physical_attrs 100 100 1450 300 1450 300 0 &gt;</t>
  </si>
  <si>
    <t>&lt;&amp;key_physical_attrs 100 100 50 400 50 400 0 &gt;</t>
  </si>
  <si>
    <t>&lt;&amp;key_physical_attrs 100 100 150 400 150 400 0 &gt;</t>
  </si>
  <si>
    <t>&lt;&amp;key_physical_attrs 100 100 250 375 250 375 0 &gt;</t>
  </si>
  <si>
    <t>&lt;&amp;key_physical_attrs 100 100 350 350 350 350 0 &gt;</t>
  </si>
  <si>
    <t>&lt;&amp;key_physical_attrs 100 100 450 400 450 400 0 &gt;</t>
  </si>
  <si>
    <t>&lt;&amp;key_physical_attrs 100 100 550 400 550 400 0 &gt;</t>
  </si>
  <si>
    <t>&lt;&amp;key_physical_attrs 100 100 650 400 650 400 0 &gt;</t>
  </si>
  <si>
    <t>&lt;&amp;key_physical_attrs 100 100 850 400 850 400 0 &gt;</t>
  </si>
  <si>
    <t>&lt;&amp;key_physical_attrs 100 100 950 400 950 400 0 &gt;</t>
  </si>
  <si>
    <t>&lt;&amp;key_physical_attrs 100 100 1050 400 1050 400 0 &gt;</t>
  </si>
  <si>
    <t>&lt;&amp;key_physical_attrs 100 100 1150 350 1150 350 0 &gt;</t>
  </si>
  <si>
    <t>&lt;&amp;key_physical_attrs 100 100 1250 375 1250 375 0 &gt;</t>
  </si>
  <si>
    <t>&lt;&amp;key_physical_attrs 100 100 1350 400 1350 400 0 &gt;</t>
  </si>
  <si>
    <t>&lt;&amp;key_physical_attrs 100 100 1450 400 1450 400 0 &gt;</t>
  </si>
  <si>
    <t>&lt;&amp;key_physical_attrs 100 100 50 500 50 500 0 &gt;</t>
  </si>
  <si>
    <t>&lt;&amp;key_physical_attrs 100 100 150 500 150 500 0 &gt;</t>
  </si>
  <si>
    <t>&lt;&amp;key_physical_attrs 100 100 300 525 300 525 0 &gt;</t>
  </si>
  <si>
    <t>&lt;&amp;key_physical_attrs 100 100 425 550 425 550 0 &gt;</t>
  </si>
  <si>
    <t>&lt;&amp;key_physical_attrs 100 100 550 500 550 500 0 &gt;</t>
  </si>
  <si>
    <t>&lt;&amp;key_physical_attrs 100 100 650 600 650 600 0 &gt;</t>
  </si>
  <si>
    <t>&lt;&amp;key_physical_attrs 100 100 850 600 850 600 0 &gt;</t>
  </si>
  <si>
    <t>&lt;&amp;key_physical_attrs 100 100 950 500 950 500 0 &gt;</t>
  </si>
  <si>
    <t>&lt;&amp;key_physical_attrs 100 100 1075 550 1075 550 0 &gt;</t>
  </si>
  <si>
    <t>&lt;&amp;key_physical_attrs 100 100 1200 525 1200 525 0 &gt;</t>
  </si>
  <si>
    <t>&lt;&amp;key_physical_attrs 100 100 1350 500 1350 500 0 &gt;</t>
  </si>
  <si>
    <t>&lt;&amp;key_physical_attrs 100 100 1450 500 1450 500 0 &gt;</t>
  </si>
  <si>
    <t xml:space="preserve">            ;</t>
  </si>
  <si>
    <t xml:space="preserve">    };</t>
  </si>
  <si>
    <t>&amp;none &amp;none &amp;none &amp;none &amp;trans &amp;none &amp;none &amp;trans &amp;none &amp;none &amp;none &amp;none &amp;none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</si>
</sst>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color theme="1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1"/>
  <sheetViews>
    <sheetView topLeftCell="B35" zoomScale="160" zoomScaleNormal="160" workbookViewId="0">
      <selection activeCell="O2" sqref="O2:P68"/>
    </sheetView>
  </sheetViews>
  <sheetFormatPr defaultRowHeight="13.5" x14ac:dyDescent="0.15"/>
  <cols>
    <col min="10" max="11" width="10.875" bestFit="1" customWidth="1"/>
    <col min="14" max="14" width="26.375" bestFit="1" customWidth="1"/>
    <col min="16" max="16" width="43.75" bestFit="1" customWidth="1"/>
  </cols>
  <sheetData>
    <row r="1" spans="1:16" x14ac:dyDescent="0.15">
      <c r="A1" t="s">
        <v>2</v>
      </c>
      <c r="B1" t="s">
        <v>3</v>
      </c>
      <c r="C1" t="s">
        <v>14</v>
      </c>
      <c r="D1" t="s">
        <v>0</v>
      </c>
      <c r="E1" t="s">
        <v>1</v>
      </c>
      <c r="G1" t="s">
        <v>4</v>
      </c>
      <c r="H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</row>
    <row r="2" spans="1:16" x14ac:dyDescent="0.15">
      <c r="A2">
        <v>1</v>
      </c>
      <c r="B2">
        <v>0</v>
      </c>
      <c r="C2">
        <v>0</v>
      </c>
      <c r="D2">
        <v>0</v>
      </c>
      <c r="E2">
        <v>50</v>
      </c>
      <c r="G2">
        <v>100</v>
      </c>
      <c r="H2">
        <v>100</v>
      </c>
      <c r="J2">
        <f>D2+G2/2</f>
        <v>50</v>
      </c>
      <c r="K2">
        <f>E2+H2/2</f>
        <v>100</v>
      </c>
      <c r="L2">
        <v>0</v>
      </c>
      <c r="M2">
        <v>0</v>
      </c>
      <c r="O2" s="3" t="s">
        <v>11</v>
      </c>
      <c r="P2" t="str">
        <f>CONCATENATE("&lt;&amp;key_physical_attrs "&amp;G2&amp;" "&amp;H2&amp;" "&amp;J2&amp;" "&amp;K2&amp;" "&amp;J2&amp;" "&amp;K2&amp;" "&amp;L2&amp;" "&amp;"&gt;")</f>
        <v>&lt;&amp;key_physical_attrs 100 100 50 100 50 100 0 &gt;</v>
      </c>
    </row>
    <row r="3" spans="1:16" x14ac:dyDescent="0.15">
      <c r="A3">
        <v>2</v>
      </c>
      <c r="B3">
        <f>B2</f>
        <v>0</v>
      </c>
      <c r="C3">
        <v>1</v>
      </c>
      <c r="D3">
        <v>100</v>
      </c>
      <c r="E3">
        <v>50</v>
      </c>
      <c r="G3">
        <v>100</v>
      </c>
      <c r="H3">
        <v>100</v>
      </c>
      <c r="J3">
        <f t="shared" ref="J3:J7" si="0">D3+G3/2</f>
        <v>150</v>
      </c>
      <c r="K3">
        <f t="shared" ref="K3:K7" si="1">E3+H3/2</f>
        <v>100</v>
      </c>
      <c r="L3">
        <v>0</v>
      </c>
      <c r="M3">
        <f>M2+1</f>
        <v>1</v>
      </c>
      <c r="O3" t="s">
        <v>12</v>
      </c>
      <c r="P3" t="str">
        <f t="shared" ref="P3:P7" si="2">CONCATENATE("&lt;&amp;key_physical_attrs "&amp;G3&amp;" "&amp;H3&amp;" "&amp;J3&amp;" "&amp;K3&amp;" "&amp;J3&amp;" "&amp;K3&amp;" "&amp;L3&amp;" "&amp;"&gt;")</f>
        <v>&lt;&amp;key_physical_attrs 100 100 150 100 150 100 0 &gt;</v>
      </c>
    </row>
    <row r="4" spans="1:16" x14ac:dyDescent="0.15">
      <c r="A4">
        <v>3</v>
      </c>
      <c r="B4">
        <f t="shared" ref="B4:B7" si="3">B3</f>
        <v>0</v>
      </c>
      <c r="C4">
        <v>2</v>
      </c>
      <c r="D4">
        <v>200</v>
      </c>
      <c r="E4">
        <v>25</v>
      </c>
      <c r="G4">
        <v>100</v>
      </c>
      <c r="H4">
        <v>100</v>
      </c>
      <c r="J4">
        <f t="shared" si="0"/>
        <v>250</v>
      </c>
      <c r="K4">
        <f t="shared" si="1"/>
        <v>75</v>
      </c>
      <c r="L4">
        <v>0</v>
      </c>
      <c r="M4">
        <f t="shared" ref="M4:M7" si="4">M3+1</f>
        <v>2</v>
      </c>
      <c r="O4" t="s">
        <v>12</v>
      </c>
      <c r="P4" t="str">
        <f t="shared" si="2"/>
        <v>&lt;&amp;key_physical_attrs 100 100 250 75 250 75 0 &gt;</v>
      </c>
    </row>
    <row r="5" spans="1:16" x14ac:dyDescent="0.15">
      <c r="A5">
        <v>4</v>
      </c>
      <c r="B5">
        <f t="shared" si="3"/>
        <v>0</v>
      </c>
      <c r="C5">
        <v>3</v>
      </c>
      <c r="D5">
        <v>300</v>
      </c>
      <c r="E5">
        <v>0</v>
      </c>
      <c r="G5">
        <v>100</v>
      </c>
      <c r="H5">
        <v>100</v>
      </c>
      <c r="J5">
        <f t="shared" si="0"/>
        <v>350</v>
      </c>
      <c r="K5">
        <f t="shared" si="1"/>
        <v>50</v>
      </c>
      <c r="L5">
        <v>0</v>
      </c>
      <c r="M5">
        <f t="shared" si="4"/>
        <v>3</v>
      </c>
      <c r="O5" t="s">
        <v>12</v>
      </c>
      <c r="P5" t="str">
        <f t="shared" si="2"/>
        <v>&lt;&amp;key_physical_attrs 100 100 350 50 350 50 0 &gt;</v>
      </c>
    </row>
    <row r="6" spans="1:16" x14ac:dyDescent="0.15">
      <c r="A6">
        <v>5</v>
      </c>
      <c r="B6">
        <f t="shared" si="3"/>
        <v>0</v>
      </c>
      <c r="C6">
        <v>4</v>
      </c>
      <c r="D6">
        <v>400</v>
      </c>
      <c r="E6">
        <v>50</v>
      </c>
      <c r="G6">
        <v>100</v>
      </c>
      <c r="H6">
        <v>100</v>
      </c>
      <c r="J6">
        <f t="shared" si="0"/>
        <v>450</v>
      </c>
      <c r="K6">
        <f t="shared" si="1"/>
        <v>100</v>
      </c>
      <c r="L6">
        <v>0</v>
      </c>
      <c r="M6">
        <f t="shared" si="4"/>
        <v>4</v>
      </c>
      <c r="O6" t="s">
        <v>12</v>
      </c>
      <c r="P6" t="str">
        <f t="shared" si="2"/>
        <v>&lt;&amp;key_physical_attrs 100 100 450 100 450 100 0 &gt;</v>
      </c>
    </row>
    <row r="7" spans="1:16" x14ac:dyDescent="0.15">
      <c r="A7">
        <v>6</v>
      </c>
      <c r="B7">
        <f t="shared" si="3"/>
        <v>0</v>
      </c>
      <c r="C7">
        <v>5</v>
      </c>
      <c r="D7">
        <v>500</v>
      </c>
      <c r="E7">
        <v>50</v>
      </c>
      <c r="G7">
        <v>100</v>
      </c>
      <c r="H7">
        <v>100</v>
      </c>
      <c r="J7">
        <f t="shared" si="0"/>
        <v>550</v>
      </c>
      <c r="K7">
        <f t="shared" si="1"/>
        <v>100</v>
      </c>
      <c r="L7">
        <v>0</v>
      </c>
      <c r="M7">
        <f t="shared" si="4"/>
        <v>5</v>
      </c>
      <c r="O7" t="s">
        <v>12</v>
      </c>
      <c r="P7" t="str">
        <f t="shared" si="2"/>
        <v>&lt;&amp;key_physical_attrs 100 100 550 100 550 100 0 &gt;</v>
      </c>
    </row>
    <row r="8" spans="1:16" x14ac:dyDescent="0.15">
      <c r="B8">
        <v>0</v>
      </c>
      <c r="C8">
        <v>8</v>
      </c>
      <c r="D8" s="2">
        <v>900</v>
      </c>
      <c r="E8" s="2">
        <v>50</v>
      </c>
      <c r="G8">
        <v>100</v>
      </c>
      <c r="H8">
        <v>100</v>
      </c>
      <c r="J8">
        <f t="shared" ref="J8:J67" si="5">D8+G8/2</f>
        <v>950</v>
      </c>
      <c r="K8">
        <f t="shared" ref="K8:K67" si="6">E8+H8/2</f>
        <v>100</v>
      </c>
      <c r="L8">
        <v>0</v>
      </c>
      <c r="M8">
        <f t="shared" ref="M8:M67" si="7">M7+1</f>
        <v>6</v>
      </c>
      <c r="O8" t="s">
        <v>12</v>
      </c>
      <c r="P8" t="str">
        <f t="shared" ref="P8:P67" si="8">CONCATENATE("&lt;&amp;key_physical_attrs "&amp;G8&amp;" "&amp;H8&amp;" "&amp;J8&amp;" "&amp;K8&amp;" "&amp;J8&amp;" "&amp;K8&amp;" "&amp;L8&amp;" "&amp;"&gt;")</f>
        <v>&lt;&amp;key_physical_attrs 100 100 950 100 950 100 0 &gt;</v>
      </c>
    </row>
    <row r="9" spans="1:16" x14ac:dyDescent="0.15">
      <c r="B9">
        <v>0</v>
      </c>
      <c r="C9">
        <v>9</v>
      </c>
      <c r="D9" s="2">
        <v>1000</v>
      </c>
      <c r="E9" s="2">
        <v>50</v>
      </c>
      <c r="G9">
        <v>100</v>
      </c>
      <c r="H9">
        <v>100</v>
      </c>
      <c r="J9">
        <f t="shared" si="5"/>
        <v>1050</v>
      </c>
      <c r="K9">
        <f t="shared" si="6"/>
        <v>100</v>
      </c>
      <c r="L9">
        <v>0</v>
      </c>
      <c r="M9">
        <f t="shared" si="7"/>
        <v>7</v>
      </c>
      <c r="O9" t="s">
        <v>12</v>
      </c>
      <c r="P9" t="str">
        <f t="shared" si="8"/>
        <v>&lt;&amp;key_physical_attrs 100 100 1050 100 1050 100 0 &gt;</v>
      </c>
    </row>
    <row r="10" spans="1:16" x14ac:dyDescent="0.15">
      <c r="B10">
        <v>0</v>
      </c>
      <c r="C10">
        <v>10</v>
      </c>
      <c r="D10" s="2">
        <v>1100</v>
      </c>
      <c r="E10" s="2">
        <v>0</v>
      </c>
      <c r="G10">
        <v>100</v>
      </c>
      <c r="H10">
        <v>100</v>
      </c>
      <c r="J10">
        <f t="shared" si="5"/>
        <v>1150</v>
      </c>
      <c r="K10">
        <f t="shared" si="6"/>
        <v>50</v>
      </c>
      <c r="L10">
        <v>0</v>
      </c>
      <c r="M10">
        <f t="shared" si="7"/>
        <v>8</v>
      </c>
      <c r="O10" t="s">
        <v>12</v>
      </c>
      <c r="P10" t="str">
        <f t="shared" si="8"/>
        <v>&lt;&amp;key_physical_attrs 100 100 1150 50 1150 50 0 &gt;</v>
      </c>
    </row>
    <row r="11" spans="1:16" x14ac:dyDescent="0.15">
      <c r="B11">
        <v>0</v>
      </c>
      <c r="C11">
        <v>11</v>
      </c>
      <c r="D11" s="2">
        <v>1200</v>
      </c>
      <c r="E11" s="2">
        <v>25</v>
      </c>
      <c r="G11">
        <v>100</v>
      </c>
      <c r="H11">
        <v>100</v>
      </c>
      <c r="J11">
        <f t="shared" si="5"/>
        <v>1250</v>
      </c>
      <c r="K11">
        <f t="shared" si="6"/>
        <v>75</v>
      </c>
      <c r="L11">
        <v>0</v>
      </c>
      <c r="M11">
        <f t="shared" si="7"/>
        <v>9</v>
      </c>
      <c r="O11" t="s">
        <v>12</v>
      </c>
      <c r="P11" t="str">
        <f t="shared" si="8"/>
        <v>&lt;&amp;key_physical_attrs 100 100 1250 75 1250 75 0 &gt;</v>
      </c>
    </row>
    <row r="12" spans="1:16" x14ac:dyDescent="0.15">
      <c r="B12">
        <v>0</v>
      </c>
      <c r="C12">
        <v>12</v>
      </c>
      <c r="D12" s="2">
        <v>1300</v>
      </c>
      <c r="E12" s="2">
        <v>50</v>
      </c>
      <c r="G12">
        <v>100</v>
      </c>
      <c r="H12">
        <v>100</v>
      </c>
      <c r="J12">
        <f t="shared" si="5"/>
        <v>1350</v>
      </c>
      <c r="K12">
        <f t="shared" si="6"/>
        <v>100</v>
      </c>
      <c r="L12">
        <v>0</v>
      </c>
      <c r="M12">
        <f t="shared" si="7"/>
        <v>10</v>
      </c>
      <c r="O12" t="s">
        <v>12</v>
      </c>
      <c r="P12" t="str">
        <f t="shared" si="8"/>
        <v>&lt;&amp;key_physical_attrs 100 100 1350 100 1350 100 0 &gt;</v>
      </c>
    </row>
    <row r="13" spans="1:16" x14ac:dyDescent="0.15">
      <c r="B13">
        <v>0</v>
      </c>
      <c r="C13">
        <v>13</v>
      </c>
      <c r="D13" s="2">
        <v>1400</v>
      </c>
      <c r="E13" s="2">
        <v>50</v>
      </c>
      <c r="G13">
        <v>100</v>
      </c>
      <c r="H13">
        <v>100</v>
      </c>
      <c r="J13">
        <f t="shared" si="5"/>
        <v>1450</v>
      </c>
      <c r="K13">
        <f t="shared" si="6"/>
        <v>100</v>
      </c>
      <c r="L13">
        <v>0</v>
      </c>
      <c r="M13">
        <f t="shared" si="7"/>
        <v>11</v>
      </c>
      <c r="O13" t="s">
        <v>12</v>
      </c>
      <c r="P13" t="str">
        <f t="shared" si="8"/>
        <v>&lt;&amp;key_physical_attrs 100 100 1450 100 1450 100 0 &gt;</v>
      </c>
    </row>
    <row r="14" spans="1:16" s="1" customFormat="1" x14ac:dyDescent="0.15">
      <c r="B14" s="1">
        <v>0</v>
      </c>
      <c r="C14" s="1">
        <v>14</v>
      </c>
      <c r="D14" s="1">
        <v>600</v>
      </c>
      <c r="E14" s="1">
        <v>400</v>
      </c>
      <c r="G14">
        <v>100</v>
      </c>
      <c r="H14">
        <v>100</v>
      </c>
      <c r="J14">
        <f t="shared" si="5"/>
        <v>650</v>
      </c>
      <c r="K14">
        <f t="shared" si="6"/>
        <v>450</v>
      </c>
      <c r="L14">
        <v>0</v>
      </c>
      <c r="M14">
        <f t="shared" si="7"/>
        <v>12</v>
      </c>
      <c r="O14" t="s">
        <v>12</v>
      </c>
      <c r="P14" t="str">
        <f t="shared" si="8"/>
        <v>&lt;&amp;key_physical_attrs 100 100 650 450 650 450 0 &gt;</v>
      </c>
    </row>
    <row r="15" spans="1:16" s="1" customFormat="1" x14ac:dyDescent="0.15">
      <c r="B15" s="1">
        <v>0</v>
      </c>
      <c r="C15" s="1">
        <v>15</v>
      </c>
      <c r="D15" s="1">
        <v>800</v>
      </c>
      <c r="E15" s="1">
        <v>400</v>
      </c>
      <c r="G15">
        <v>100</v>
      </c>
      <c r="H15">
        <v>100</v>
      </c>
      <c r="J15">
        <f t="shared" si="5"/>
        <v>850</v>
      </c>
      <c r="K15">
        <f t="shared" si="6"/>
        <v>450</v>
      </c>
      <c r="L15">
        <v>0</v>
      </c>
      <c r="M15">
        <f t="shared" si="7"/>
        <v>13</v>
      </c>
      <c r="O15" t="s">
        <v>12</v>
      </c>
      <c r="P15" t="str">
        <f t="shared" si="8"/>
        <v>&lt;&amp;key_physical_attrs 100 100 850 450 850 450 0 &gt;</v>
      </c>
    </row>
    <row r="16" spans="1:16" x14ac:dyDescent="0.15">
      <c r="B16">
        <v>1</v>
      </c>
      <c r="C16">
        <v>0</v>
      </c>
      <c r="D16">
        <v>0</v>
      </c>
      <c r="E16">
        <f>E2+100</f>
        <v>150</v>
      </c>
      <c r="G16">
        <v>100</v>
      </c>
      <c r="H16">
        <v>100</v>
      </c>
      <c r="J16">
        <f t="shared" si="5"/>
        <v>50</v>
      </c>
      <c r="K16">
        <f t="shared" si="6"/>
        <v>200</v>
      </c>
      <c r="L16">
        <v>0</v>
      </c>
      <c r="M16">
        <f t="shared" si="7"/>
        <v>14</v>
      </c>
      <c r="O16" t="s">
        <v>12</v>
      </c>
      <c r="P16" t="str">
        <f t="shared" si="8"/>
        <v>&lt;&amp;key_physical_attrs 100 100 50 200 50 200 0 &gt;</v>
      </c>
    </row>
    <row r="17" spans="2:16" x14ac:dyDescent="0.15">
      <c r="B17" s="4">
        <v>1</v>
      </c>
      <c r="C17">
        <v>1</v>
      </c>
      <c r="D17">
        <v>100</v>
      </c>
      <c r="E17">
        <f t="shared" ref="E17:E27" si="9">E3+100</f>
        <v>150</v>
      </c>
      <c r="G17">
        <v>100</v>
      </c>
      <c r="H17">
        <v>100</v>
      </c>
      <c r="J17">
        <f t="shared" si="5"/>
        <v>150</v>
      </c>
      <c r="K17">
        <f t="shared" si="6"/>
        <v>200</v>
      </c>
      <c r="L17">
        <v>0</v>
      </c>
      <c r="M17">
        <f t="shared" si="7"/>
        <v>15</v>
      </c>
      <c r="O17" t="s">
        <v>12</v>
      </c>
      <c r="P17" t="str">
        <f t="shared" si="8"/>
        <v>&lt;&amp;key_physical_attrs 100 100 150 200 150 200 0 &gt;</v>
      </c>
    </row>
    <row r="18" spans="2:16" x14ac:dyDescent="0.15">
      <c r="B18" s="4">
        <v>1</v>
      </c>
      <c r="C18">
        <v>2</v>
      </c>
      <c r="D18">
        <v>200</v>
      </c>
      <c r="E18">
        <f t="shared" si="9"/>
        <v>125</v>
      </c>
      <c r="G18">
        <v>100</v>
      </c>
      <c r="H18">
        <v>100</v>
      </c>
      <c r="J18">
        <f t="shared" si="5"/>
        <v>250</v>
      </c>
      <c r="K18">
        <f t="shared" si="6"/>
        <v>175</v>
      </c>
      <c r="L18">
        <v>0</v>
      </c>
      <c r="M18">
        <f t="shared" si="7"/>
        <v>16</v>
      </c>
      <c r="O18" t="s">
        <v>12</v>
      </c>
      <c r="P18" t="str">
        <f t="shared" si="8"/>
        <v>&lt;&amp;key_physical_attrs 100 100 250 175 250 175 0 &gt;</v>
      </c>
    </row>
    <row r="19" spans="2:16" x14ac:dyDescent="0.15">
      <c r="B19" s="4">
        <v>1</v>
      </c>
      <c r="C19">
        <v>3</v>
      </c>
      <c r="D19">
        <v>300</v>
      </c>
      <c r="E19">
        <f t="shared" si="9"/>
        <v>100</v>
      </c>
      <c r="G19">
        <v>100</v>
      </c>
      <c r="H19">
        <v>100</v>
      </c>
      <c r="J19">
        <f t="shared" si="5"/>
        <v>350</v>
      </c>
      <c r="K19">
        <f t="shared" si="6"/>
        <v>150</v>
      </c>
      <c r="L19">
        <v>0</v>
      </c>
      <c r="M19">
        <f t="shared" si="7"/>
        <v>17</v>
      </c>
      <c r="O19" t="s">
        <v>12</v>
      </c>
      <c r="P19" t="str">
        <f t="shared" si="8"/>
        <v>&lt;&amp;key_physical_attrs 100 100 350 150 350 150 0 &gt;</v>
      </c>
    </row>
    <row r="20" spans="2:16" x14ac:dyDescent="0.15">
      <c r="B20" s="4">
        <v>1</v>
      </c>
      <c r="C20">
        <v>4</v>
      </c>
      <c r="D20">
        <v>400</v>
      </c>
      <c r="E20">
        <f t="shared" si="9"/>
        <v>150</v>
      </c>
      <c r="G20">
        <v>100</v>
      </c>
      <c r="H20">
        <v>100</v>
      </c>
      <c r="J20">
        <f t="shared" si="5"/>
        <v>450</v>
      </c>
      <c r="K20">
        <f t="shared" si="6"/>
        <v>200</v>
      </c>
      <c r="L20">
        <v>0</v>
      </c>
      <c r="M20">
        <f t="shared" si="7"/>
        <v>18</v>
      </c>
      <c r="O20" t="s">
        <v>12</v>
      </c>
      <c r="P20" t="str">
        <f t="shared" si="8"/>
        <v>&lt;&amp;key_physical_attrs 100 100 450 200 450 200 0 &gt;</v>
      </c>
    </row>
    <row r="21" spans="2:16" x14ac:dyDescent="0.15">
      <c r="B21" s="4">
        <v>1</v>
      </c>
      <c r="C21">
        <v>5</v>
      </c>
      <c r="D21">
        <v>500</v>
      </c>
      <c r="E21">
        <f t="shared" si="9"/>
        <v>150</v>
      </c>
      <c r="G21">
        <v>100</v>
      </c>
      <c r="H21">
        <v>100</v>
      </c>
      <c r="J21">
        <f t="shared" si="5"/>
        <v>550</v>
      </c>
      <c r="K21">
        <f t="shared" si="6"/>
        <v>200</v>
      </c>
      <c r="L21">
        <v>0</v>
      </c>
      <c r="M21">
        <f t="shared" si="7"/>
        <v>19</v>
      </c>
      <c r="O21" t="s">
        <v>12</v>
      </c>
      <c r="P21" t="str">
        <f t="shared" si="8"/>
        <v>&lt;&amp;key_physical_attrs 100 100 550 200 550 200 0 &gt;</v>
      </c>
    </row>
    <row r="22" spans="2:16" x14ac:dyDescent="0.15">
      <c r="B22" s="4">
        <v>1</v>
      </c>
      <c r="C22">
        <v>8</v>
      </c>
      <c r="D22" s="2">
        <v>900</v>
      </c>
      <c r="E22">
        <f t="shared" si="9"/>
        <v>150</v>
      </c>
      <c r="G22">
        <v>100</v>
      </c>
      <c r="H22">
        <v>100</v>
      </c>
      <c r="J22">
        <f t="shared" si="5"/>
        <v>950</v>
      </c>
      <c r="K22">
        <f t="shared" si="6"/>
        <v>200</v>
      </c>
      <c r="L22">
        <v>0</v>
      </c>
      <c r="M22">
        <f t="shared" si="7"/>
        <v>20</v>
      </c>
      <c r="O22" t="s">
        <v>12</v>
      </c>
      <c r="P22" t="str">
        <f t="shared" si="8"/>
        <v>&lt;&amp;key_physical_attrs 100 100 950 200 950 200 0 &gt;</v>
      </c>
    </row>
    <row r="23" spans="2:16" x14ac:dyDescent="0.15">
      <c r="B23" s="4">
        <v>1</v>
      </c>
      <c r="C23">
        <v>9</v>
      </c>
      <c r="D23" s="2">
        <v>1000</v>
      </c>
      <c r="E23">
        <f t="shared" si="9"/>
        <v>150</v>
      </c>
      <c r="G23">
        <v>100</v>
      </c>
      <c r="H23">
        <v>100</v>
      </c>
      <c r="J23">
        <f t="shared" si="5"/>
        <v>1050</v>
      </c>
      <c r="K23">
        <f t="shared" si="6"/>
        <v>200</v>
      </c>
      <c r="L23">
        <v>0</v>
      </c>
      <c r="M23">
        <f t="shared" si="7"/>
        <v>21</v>
      </c>
      <c r="O23" t="s">
        <v>12</v>
      </c>
      <c r="P23" t="str">
        <f t="shared" si="8"/>
        <v>&lt;&amp;key_physical_attrs 100 100 1050 200 1050 200 0 &gt;</v>
      </c>
    </row>
    <row r="24" spans="2:16" x14ac:dyDescent="0.15">
      <c r="B24" s="4">
        <v>1</v>
      </c>
      <c r="C24">
        <v>10</v>
      </c>
      <c r="D24" s="2">
        <v>1100</v>
      </c>
      <c r="E24">
        <f t="shared" si="9"/>
        <v>100</v>
      </c>
      <c r="G24">
        <v>100</v>
      </c>
      <c r="H24">
        <v>100</v>
      </c>
      <c r="J24">
        <f t="shared" si="5"/>
        <v>1150</v>
      </c>
      <c r="K24">
        <f t="shared" si="6"/>
        <v>150</v>
      </c>
      <c r="L24">
        <v>0</v>
      </c>
      <c r="M24">
        <f t="shared" si="7"/>
        <v>22</v>
      </c>
      <c r="O24" t="s">
        <v>12</v>
      </c>
      <c r="P24" t="str">
        <f t="shared" si="8"/>
        <v>&lt;&amp;key_physical_attrs 100 100 1150 150 1150 150 0 &gt;</v>
      </c>
    </row>
    <row r="25" spans="2:16" x14ac:dyDescent="0.15">
      <c r="B25" s="4">
        <v>1</v>
      </c>
      <c r="C25">
        <v>11</v>
      </c>
      <c r="D25" s="2">
        <v>1200</v>
      </c>
      <c r="E25">
        <f t="shared" si="9"/>
        <v>125</v>
      </c>
      <c r="G25">
        <v>100</v>
      </c>
      <c r="H25">
        <v>100</v>
      </c>
      <c r="J25">
        <f t="shared" si="5"/>
        <v>1250</v>
      </c>
      <c r="K25">
        <f t="shared" si="6"/>
        <v>175</v>
      </c>
      <c r="L25">
        <v>0</v>
      </c>
      <c r="M25">
        <f t="shared" si="7"/>
        <v>23</v>
      </c>
      <c r="O25" t="s">
        <v>12</v>
      </c>
      <c r="P25" t="str">
        <f t="shared" si="8"/>
        <v>&lt;&amp;key_physical_attrs 100 100 1250 175 1250 175 0 &gt;</v>
      </c>
    </row>
    <row r="26" spans="2:16" x14ac:dyDescent="0.15">
      <c r="B26" s="4">
        <v>1</v>
      </c>
      <c r="C26">
        <v>12</v>
      </c>
      <c r="D26" s="2">
        <v>1300</v>
      </c>
      <c r="E26">
        <f t="shared" si="9"/>
        <v>150</v>
      </c>
      <c r="G26">
        <v>100</v>
      </c>
      <c r="H26">
        <v>100</v>
      </c>
      <c r="J26">
        <f t="shared" si="5"/>
        <v>1350</v>
      </c>
      <c r="K26">
        <f t="shared" si="6"/>
        <v>200</v>
      </c>
      <c r="L26">
        <v>0</v>
      </c>
      <c r="M26">
        <f t="shared" si="7"/>
        <v>24</v>
      </c>
      <c r="O26" t="s">
        <v>12</v>
      </c>
      <c r="P26" t="str">
        <f t="shared" si="8"/>
        <v>&lt;&amp;key_physical_attrs 100 100 1350 200 1350 200 0 &gt;</v>
      </c>
    </row>
    <row r="27" spans="2:16" x14ac:dyDescent="0.15">
      <c r="B27" s="4">
        <v>1</v>
      </c>
      <c r="C27">
        <v>13</v>
      </c>
      <c r="D27" s="2">
        <v>1400</v>
      </c>
      <c r="E27">
        <f t="shared" si="9"/>
        <v>150</v>
      </c>
      <c r="G27">
        <v>100</v>
      </c>
      <c r="H27">
        <v>100</v>
      </c>
      <c r="J27">
        <f t="shared" si="5"/>
        <v>1450</v>
      </c>
      <c r="K27">
        <f t="shared" si="6"/>
        <v>200</v>
      </c>
      <c r="L27">
        <v>0</v>
      </c>
      <c r="M27">
        <f t="shared" si="7"/>
        <v>25</v>
      </c>
      <c r="O27" t="s">
        <v>12</v>
      </c>
      <c r="P27" t="str">
        <f t="shared" si="8"/>
        <v>&lt;&amp;key_physical_attrs 100 100 1450 200 1450 200 0 &gt;</v>
      </c>
    </row>
    <row r="28" spans="2:16" x14ac:dyDescent="0.15">
      <c r="B28" s="4">
        <v>2</v>
      </c>
      <c r="C28">
        <v>0</v>
      </c>
      <c r="D28">
        <v>0</v>
      </c>
      <c r="E28">
        <v>250</v>
      </c>
      <c r="G28">
        <v>100</v>
      </c>
      <c r="H28">
        <v>100</v>
      </c>
      <c r="J28">
        <f t="shared" si="5"/>
        <v>50</v>
      </c>
      <c r="K28">
        <f t="shared" si="6"/>
        <v>300</v>
      </c>
      <c r="L28">
        <v>0</v>
      </c>
      <c r="M28">
        <f t="shared" si="7"/>
        <v>26</v>
      </c>
      <c r="O28" t="s">
        <v>12</v>
      </c>
      <c r="P28" t="str">
        <f t="shared" si="8"/>
        <v>&lt;&amp;key_physical_attrs 100 100 50 300 50 300 0 &gt;</v>
      </c>
    </row>
    <row r="29" spans="2:16" x14ac:dyDescent="0.15">
      <c r="B29" s="4">
        <v>2</v>
      </c>
      <c r="C29">
        <v>1</v>
      </c>
      <c r="D29">
        <v>100</v>
      </c>
      <c r="E29">
        <v>250</v>
      </c>
      <c r="G29">
        <v>100</v>
      </c>
      <c r="H29">
        <v>100</v>
      </c>
      <c r="J29">
        <f t="shared" si="5"/>
        <v>150</v>
      </c>
      <c r="K29">
        <f t="shared" si="6"/>
        <v>300</v>
      </c>
      <c r="L29">
        <v>0</v>
      </c>
      <c r="M29">
        <f t="shared" si="7"/>
        <v>27</v>
      </c>
      <c r="O29" t="s">
        <v>12</v>
      </c>
      <c r="P29" t="str">
        <f t="shared" si="8"/>
        <v>&lt;&amp;key_physical_attrs 100 100 150 300 150 300 0 &gt;</v>
      </c>
    </row>
    <row r="30" spans="2:16" x14ac:dyDescent="0.15">
      <c r="B30" s="4">
        <v>2</v>
      </c>
      <c r="C30">
        <v>2</v>
      </c>
      <c r="D30">
        <v>200</v>
      </c>
      <c r="E30">
        <v>225</v>
      </c>
      <c r="G30">
        <v>100</v>
      </c>
      <c r="H30">
        <v>100</v>
      </c>
      <c r="J30">
        <f t="shared" si="5"/>
        <v>250</v>
      </c>
      <c r="K30">
        <f t="shared" si="6"/>
        <v>275</v>
      </c>
      <c r="L30">
        <v>0</v>
      </c>
      <c r="M30">
        <f t="shared" si="7"/>
        <v>28</v>
      </c>
      <c r="O30" t="s">
        <v>12</v>
      </c>
      <c r="P30" t="str">
        <f t="shared" si="8"/>
        <v>&lt;&amp;key_physical_attrs 100 100 250 275 250 275 0 &gt;</v>
      </c>
    </row>
    <row r="31" spans="2:16" x14ac:dyDescent="0.15">
      <c r="B31" s="4">
        <v>2</v>
      </c>
      <c r="C31">
        <v>3</v>
      </c>
      <c r="D31">
        <v>300</v>
      </c>
      <c r="E31">
        <v>200</v>
      </c>
      <c r="G31">
        <v>100</v>
      </c>
      <c r="H31">
        <v>100</v>
      </c>
      <c r="J31">
        <f t="shared" si="5"/>
        <v>350</v>
      </c>
      <c r="K31">
        <f t="shared" si="6"/>
        <v>250</v>
      </c>
      <c r="L31">
        <v>0</v>
      </c>
      <c r="M31">
        <f t="shared" si="7"/>
        <v>29</v>
      </c>
      <c r="O31" t="s">
        <v>12</v>
      </c>
      <c r="P31" t="str">
        <f t="shared" si="8"/>
        <v>&lt;&amp;key_physical_attrs 100 100 350 250 350 250 0 &gt;</v>
      </c>
    </row>
    <row r="32" spans="2:16" x14ac:dyDescent="0.15">
      <c r="B32" s="4">
        <v>2</v>
      </c>
      <c r="C32">
        <v>4</v>
      </c>
      <c r="D32">
        <v>400</v>
      </c>
      <c r="E32">
        <v>250</v>
      </c>
      <c r="G32">
        <v>100</v>
      </c>
      <c r="H32">
        <v>100</v>
      </c>
      <c r="J32">
        <f t="shared" si="5"/>
        <v>450</v>
      </c>
      <c r="K32">
        <f t="shared" si="6"/>
        <v>300</v>
      </c>
      <c r="L32">
        <v>0</v>
      </c>
      <c r="M32">
        <f t="shared" si="7"/>
        <v>30</v>
      </c>
      <c r="O32" t="s">
        <v>12</v>
      </c>
      <c r="P32" t="str">
        <f t="shared" si="8"/>
        <v>&lt;&amp;key_physical_attrs 100 100 450 300 450 300 0 &gt;</v>
      </c>
    </row>
    <row r="33" spans="2:16" x14ac:dyDescent="0.15">
      <c r="B33" s="4">
        <v>2</v>
      </c>
      <c r="C33">
        <v>5</v>
      </c>
      <c r="D33">
        <v>500</v>
      </c>
      <c r="E33">
        <v>250</v>
      </c>
      <c r="G33">
        <v>100</v>
      </c>
      <c r="H33">
        <v>100</v>
      </c>
      <c r="J33">
        <f t="shared" si="5"/>
        <v>550</v>
      </c>
      <c r="K33">
        <f t="shared" si="6"/>
        <v>300</v>
      </c>
      <c r="L33">
        <v>0</v>
      </c>
      <c r="M33">
        <f t="shared" si="7"/>
        <v>31</v>
      </c>
      <c r="O33" t="s">
        <v>12</v>
      </c>
      <c r="P33" t="str">
        <f t="shared" si="8"/>
        <v>&lt;&amp;key_physical_attrs 100 100 550 300 550 300 0 &gt;</v>
      </c>
    </row>
    <row r="34" spans="2:16" x14ac:dyDescent="0.15">
      <c r="B34" s="4">
        <v>2</v>
      </c>
      <c r="C34">
        <v>6</v>
      </c>
      <c r="D34">
        <v>600</v>
      </c>
      <c r="E34">
        <v>250</v>
      </c>
      <c r="G34">
        <v>100</v>
      </c>
      <c r="H34">
        <v>100</v>
      </c>
      <c r="J34">
        <f t="shared" si="5"/>
        <v>650</v>
      </c>
      <c r="K34">
        <f t="shared" si="6"/>
        <v>300</v>
      </c>
      <c r="L34">
        <v>0</v>
      </c>
      <c r="M34">
        <f t="shared" si="7"/>
        <v>32</v>
      </c>
      <c r="O34" t="s">
        <v>12</v>
      </c>
      <c r="P34" t="str">
        <f t="shared" si="8"/>
        <v>&lt;&amp;key_physical_attrs 100 100 650 300 650 300 0 &gt;</v>
      </c>
    </row>
    <row r="35" spans="2:16" x14ac:dyDescent="0.15">
      <c r="B35" s="4">
        <v>2</v>
      </c>
      <c r="C35">
        <v>7</v>
      </c>
      <c r="D35">
        <v>800</v>
      </c>
      <c r="E35">
        <v>250</v>
      </c>
      <c r="G35">
        <v>100</v>
      </c>
      <c r="H35">
        <v>100</v>
      </c>
      <c r="J35">
        <f t="shared" si="5"/>
        <v>850</v>
      </c>
      <c r="K35">
        <f t="shared" si="6"/>
        <v>300</v>
      </c>
      <c r="L35">
        <v>0</v>
      </c>
      <c r="M35">
        <f t="shared" si="7"/>
        <v>33</v>
      </c>
      <c r="O35" t="s">
        <v>12</v>
      </c>
      <c r="P35" t="str">
        <f t="shared" si="8"/>
        <v>&lt;&amp;key_physical_attrs 100 100 850 300 850 300 0 &gt;</v>
      </c>
    </row>
    <row r="36" spans="2:16" x14ac:dyDescent="0.15">
      <c r="B36" s="4">
        <v>2</v>
      </c>
      <c r="C36">
        <v>8</v>
      </c>
      <c r="D36" s="2">
        <v>900</v>
      </c>
      <c r="E36">
        <v>250</v>
      </c>
      <c r="G36">
        <v>100</v>
      </c>
      <c r="H36">
        <v>100</v>
      </c>
      <c r="J36">
        <f t="shared" si="5"/>
        <v>950</v>
      </c>
      <c r="K36">
        <f t="shared" si="6"/>
        <v>300</v>
      </c>
      <c r="L36">
        <v>0</v>
      </c>
      <c r="M36">
        <f t="shared" si="7"/>
        <v>34</v>
      </c>
      <c r="O36" t="s">
        <v>12</v>
      </c>
      <c r="P36" t="str">
        <f t="shared" si="8"/>
        <v>&lt;&amp;key_physical_attrs 100 100 950 300 950 300 0 &gt;</v>
      </c>
    </row>
    <row r="37" spans="2:16" x14ac:dyDescent="0.15">
      <c r="B37" s="4">
        <v>2</v>
      </c>
      <c r="C37">
        <v>9</v>
      </c>
      <c r="D37" s="2">
        <v>1000</v>
      </c>
      <c r="E37">
        <v>250</v>
      </c>
      <c r="G37">
        <v>100</v>
      </c>
      <c r="H37">
        <v>100</v>
      </c>
      <c r="J37">
        <f t="shared" si="5"/>
        <v>1050</v>
      </c>
      <c r="K37">
        <f t="shared" si="6"/>
        <v>300</v>
      </c>
      <c r="L37">
        <v>0</v>
      </c>
      <c r="M37">
        <f t="shared" si="7"/>
        <v>35</v>
      </c>
      <c r="O37" t="s">
        <v>12</v>
      </c>
      <c r="P37" t="str">
        <f t="shared" si="8"/>
        <v>&lt;&amp;key_physical_attrs 100 100 1050 300 1050 300 0 &gt;</v>
      </c>
    </row>
    <row r="38" spans="2:16" x14ac:dyDescent="0.15">
      <c r="B38" s="4">
        <v>2</v>
      </c>
      <c r="C38">
        <v>10</v>
      </c>
      <c r="D38" s="2">
        <v>1100</v>
      </c>
      <c r="E38">
        <v>200</v>
      </c>
      <c r="G38">
        <v>100</v>
      </c>
      <c r="H38">
        <v>100</v>
      </c>
      <c r="J38">
        <f t="shared" si="5"/>
        <v>1150</v>
      </c>
      <c r="K38">
        <f t="shared" si="6"/>
        <v>250</v>
      </c>
      <c r="L38">
        <v>0</v>
      </c>
      <c r="M38">
        <f t="shared" si="7"/>
        <v>36</v>
      </c>
      <c r="O38" t="s">
        <v>12</v>
      </c>
      <c r="P38" t="str">
        <f t="shared" si="8"/>
        <v>&lt;&amp;key_physical_attrs 100 100 1150 250 1150 250 0 &gt;</v>
      </c>
    </row>
    <row r="39" spans="2:16" x14ac:dyDescent="0.15">
      <c r="B39" s="4">
        <v>2</v>
      </c>
      <c r="C39">
        <v>11</v>
      </c>
      <c r="D39" s="2">
        <v>1200</v>
      </c>
      <c r="E39">
        <v>225</v>
      </c>
      <c r="G39">
        <v>100</v>
      </c>
      <c r="H39">
        <v>100</v>
      </c>
      <c r="J39">
        <f t="shared" si="5"/>
        <v>1250</v>
      </c>
      <c r="K39">
        <f t="shared" si="6"/>
        <v>275</v>
      </c>
      <c r="L39">
        <v>0</v>
      </c>
      <c r="M39">
        <f t="shared" si="7"/>
        <v>37</v>
      </c>
      <c r="O39" t="s">
        <v>12</v>
      </c>
      <c r="P39" t="str">
        <f t="shared" si="8"/>
        <v>&lt;&amp;key_physical_attrs 100 100 1250 275 1250 275 0 &gt;</v>
      </c>
    </row>
    <row r="40" spans="2:16" x14ac:dyDescent="0.15">
      <c r="B40" s="4">
        <v>2</v>
      </c>
      <c r="C40">
        <v>12</v>
      </c>
      <c r="D40" s="2">
        <v>1300</v>
      </c>
      <c r="E40">
        <v>250</v>
      </c>
      <c r="G40">
        <v>100</v>
      </c>
      <c r="H40">
        <v>100</v>
      </c>
      <c r="J40">
        <f t="shared" si="5"/>
        <v>1350</v>
      </c>
      <c r="K40">
        <f t="shared" si="6"/>
        <v>300</v>
      </c>
      <c r="L40">
        <v>0</v>
      </c>
      <c r="M40">
        <f t="shared" si="7"/>
        <v>38</v>
      </c>
      <c r="O40" t="s">
        <v>12</v>
      </c>
      <c r="P40" t="str">
        <f t="shared" si="8"/>
        <v>&lt;&amp;key_physical_attrs 100 100 1350 300 1350 300 0 &gt;</v>
      </c>
    </row>
    <row r="41" spans="2:16" x14ac:dyDescent="0.15">
      <c r="B41" s="4">
        <v>2</v>
      </c>
      <c r="C41">
        <v>13</v>
      </c>
      <c r="D41" s="2">
        <v>1400</v>
      </c>
      <c r="E41">
        <v>250</v>
      </c>
      <c r="G41">
        <v>100</v>
      </c>
      <c r="H41">
        <v>100</v>
      </c>
      <c r="J41">
        <f t="shared" si="5"/>
        <v>1450</v>
      </c>
      <c r="K41">
        <f t="shared" si="6"/>
        <v>300</v>
      </c>
      <c r="L41">
        <v>0</v>
      </c>
      <c r="M41">
        <f t="shared" si="7"/>
        <v>39</v>
      </c>
      <c r="O41" t="s">
        <v>12</v>
      </c>
      <c r="P41" t="str">
        <f t="shared" si="8"/>
        <v>&lt;&amp;key_physical_attrs 100 100 1450 300 1450 300 0 &gt;</v>
      </c>
    </row>
    <row r="42" spans="2:16" x14ac:dyDescent="0.15">
      <c r="B42" s="4">
        <v>3</v>
      </c>
      <c r="C42">
        <v>0</v>
      </c>
      <c r="D42">
        <v>0</v>
      </c>
      <c r="E42">
        <f>E28+100</f>
        <v>350</v>
      </c>
      <c r="G42">
        <v>100</v>
      </c>
      <c r="H42">
        <v>100</v>
      </c>
      <c r="J42">
        <f t="shared" si="5"/>
        <v>50</v>
      </c>
      <c r="K42">
        <f t="shared" si="6"/>
        <v>400</v>
      </c>
      <c r="L42">
        <v>0</v>
      </c>
      <c r="M42">
        <f t="shared" si="7"/>
        <v>40</v>
      </c>
      <c r="O42" t="s">
        <v>12</v>
      </c>
      <c r="P42" t="str">
        <f t="shared" si="8"/>
        <v>&lt;&amp;key_physical_attrs 100 100 50 400 50 400 0 &gt;</v>
      </c>
    </row>
    <row r="43" spans="2:16" x14ac:dyDescent="0.15">
      <c r="B43" s="4">
        <v>3</v>
      </c>
      <c r="C43">
        <v>1</v>
      </c>
      <c r="D43">
        <v>100</v>
      </c>
      <c r="E43">
        <f t="shared" ref="E43:E55" si="10">E29+100</f>
        <v>350</v>
      </c>
      <c r="G43">
        <v>100</v>
      </c>
      <c r="H43">
        <v>100</v>
      </c>
      <c r="J43">
        <f t="shared" si="5"/>
        <v>150</v>
      </c>
      <c r="K43">
        <f t="shared" si="6"/>
        <v>400</v>
      </c>
      <c r="L43">
        <v>0</v>
      </c>
      <c r="M43">
        <f t="shared" si="7"/>
        <v>41</v>
      </c>
      <c r="O43" t="s">
        <v>12</v>
      </c>
      <c r="P43" t="str">
        <f t="shared" si="8"/>
        <v>&lt;&amp;key_physical_attrs 100 100 150 400 150 400 0 &gt;</v>
      </c>
    </row>
    <row r="44" spans="2:16" x14ac:dyDescent="0.15">
      <c r="B44" s="4">
        <v>3</v>
      </c>
      <c r="C44">
        <v>2</v>
      </c>
      <c r="D44">
        <v>200</v>
      </c>
      <c r="E44">
        <f t="shared" si="10"/>
        <v>325</v>
      </c>
      <c r="G44">
        <v>100</v>
      </c>
      <c r="H44">
        <v>100</v>
      </c>
      <c r="J44">
        <f t="shared" si="5"/>
        <v>250</v>
      </c>
      <c r="K44">
        <f t="shared" si="6"/>
        <v>375</v>
      </c>
      <c r="L44">
        <v>0</v>
      </c>
      <c r="M44">
        <f t="shared" si="7"/>
        <v>42</v>
      </c>
      <c r="O44" t="s">
        <v>12</v>
      </c>
      <c r="P44" t="str">
        <f t="shared" si="8"/>
        <v>&lt;&amp;key_physical_attrs 100 100 250 375 250 375 0 &gt;</v>
      </c>
    </row>
    <row r="45" spans="2:16" x14ac:dyDescent="0.15">
      <c r="B45" s="4">
        <v>3</v>
      </c>
      <c r="C45">
        <v>3</v>
      </c>
      <c r="D45">
        <v>300</v>
      </c>
      <c r="E45">
        <f t="shared" si="10"/>
        <v>300</v>
      </c>
      <c r="G45">
        <v>100</v>
      </c>
      <c r="H45">
        <v>100</v>
      </c>
      <c r="J45">
        <f t="shared" si="5"/>
        <v>350</v>
      </c>
      <c r="K45">
        <f t="shared" si="6"/>
        <v>350</v>
      </c>
      <c r="L45">
        <v>0</v>
      </c>
      <c r="M45">
        <f t="shared" si="7"/>
        <v>43</v>
      </c>
      <c r="O45" t="s">
        <v>12</v>
      </c>
      <c r="P45" t="str">
        <f t="shared" si="8"/>
        <v>&lt;&amp;key_physical_attrs 100 100 350 350 350 350 0 &gt;</v>
      </c>
    </row>
    <row r="46" spans="2:16" x14ac:dyDescent="0.15">
      <c r="B46" s="4">
        <v>3</v>
      </c>
      <c r="C46">
        <v>4</v>
      </c>
      <c r="D46">
        <v>400</v>
      </c>
      <c r="E46">
        <f t="shared" si="10"/>
        <v>350</v>
      </c>
      <c r="G46">
        <v>100</v>
      </c>
      <c r="H46">
        <v>100</v>
      </c>
      <c r="J46">
        <f t="shared" si="5"/>
        <v>450</v>
      </c>
      <c r="K46">
        <f t="shared" si="6"/>
        <v>400</v>
      </c>
      <c r="L46">
        <v>0</v>
      </c>
      <c r="M46">
        <f t="shared" si="7"/>
        <v>44</v>
      </c>
      <c r="O46" t="s">
        <v>12</v>
      </c>
      <c r="P46" t="str">
        <f t="shared" si="8"/>
        <v>&lt;&amp;key_physical_attrs 100 100 450 400 450 400 0 &gt;</v>
      </c>
    </row>
    <row r="47" spans="2:16" x14ac:dyDescent="0.15">
      <c r="B47" s="4">
        <v>3</v>
      </c>
      <c r="C47">
        <v>5</v>
      </c>
      <c r="D47">
        <v>500</v>
      </c>
      <c r="E47">
        <f t="shared" si="10"/>
        <v>350</v>
      </c>
      <c r="G47">
        <v>100</v>
      </c>
      <c r="H47">
        <v>100</v>
      </c>
      <c r="J47">
        <f t="shared" si="5"/>
        <v>550</v>
      </c>
      <c r="K47">
        <f t="shared" si="6"/>
        <v>400</v>
      </c>
      <c r="L47">
        <v>0</v>
      </c>
      <c r="M47">
        <f t="shared" si="7"/>
        <v>45</v>
      </c>
      <c r="O47" t="s">
        <v>12</v>
      </c>
      <c r="P47" t="str">
        <f t="shared" si="8"/>
        <v>&lt;&amp;key_physical_attrs 100 100 550 400 550 400 0 &gt;</v>
      </c>
    </row>
    <row r="48" spans="2:16" x14ac:dyDescent="0.15">
      <c r="B48" s="4">
        <v>3</v>
      </c>
      <c r="C48">
        <v>6</v>
      </c>
      <c r="D48">
        <v>600</v>
      </c>
      <c r="E48">
        <f t="shared" si="10"/>
        <v>350</v>
      </c>
      <c r="G48">
        <v>100</v>
      </c>
      <c r="H48">
        <v>100</v>
      </c>
      <c r="J48">
        <f t="shared" si="5"/>
        <v>650</v>
      </c>
      <c r="K48">
        <f t="shared" si="6"/>
        <v>400</v>
      </c>
      <c r="L48">
        <v>0</v>
      </c>
      <c r="M48">
        <f t="shared" si="7"/>
        <v>46</v>
      </c>
      <c r="O48" t="s">
        <v>12</v>
      </c>
      <c r="P48" t="str">
        <f t="shared" si="8"/>
        <v>&lt;&amp;key_physical_attrs 100 100 650 400 650 400 0 &gt;</v>
      </c>
    </row>
    <row r="49" spans="2:16" x14ac:dyDescent="0.15">
      <c r="B49" s="4">
        <v>3</v>
      </c>
      <c r="C49">
        <v>7</v>
      </c>
      <c r="D49">
        <v>800</v>
      </c>
      <c r="E49">
        <f t="shared" si="10"/>
        <v>350</v>
      </c>
      <c r="G49">
        <v>100</v>
      </c>
      <c r="H49">
        <v>100</v>
      </c>
      <c r="J49">
        <f t="shared" si="5"/>
        <v>850</v>
      </c>
      <c r="K49">
        <f t="shared" si="6"/>
        <v>400</v>
      </c>
      <c r="L49">
        <v>0</v>
      </c>
      <c r="M49">
        <f t="shared" si="7"/>
        <v>47</v>
      </c>
      <c r="O49" t="s">
        <v>12</v>
      </c>
      <c r="P49" t="str">
        <f t="shared" si="8"/>
        <v>&lt;&amp;key_physical_attrs 100 100 850 400 850 400 0 &gt;</v>
      </c>
    </row>
    <row r="50" spans="2:16" x14ac:dyDescent="0.15">
      <c r="B50" s="4">
        <v>3</v>
      </c>
      <c r="C50">
        <v>8</v>
      </c>
      <c r="D50" s="2">
        <v>900</v>
      </c>
      <c r="E50">
        <f t="shared" si="10"/>
        <v>350</v>
      </c>
      <c r="G50">
        <v>100</v>
      </c>
      <c r="H50">
        <v>100</v>
      </c>
      <c r="J50">
        <f t="shared" si="5"/>
        <v>950</v>
      </c>
      <c r="K50">
        <f t="shared" si="6"/>
        <v>400</v>
      </c>
      <c r="L50">
        <v>0</v>
      </c>
      <c r="M50">
        <f t="shared" si="7"/>
        <v>48</v>
      </c>
      <c r="O50" t="s">
        <v>12</v>
      </c>
      <c r="P50" t="str">
        <f t="shared" si="8"/>
        <v>&lt;&amp;key_physical_attrs 100 100 950 400 950 400 0 &gt;</v>
      </c>
    </row>
    <row r="51" spans="2:16" x14ac:dyDescent="0.15">
      <c r="B51" s="4">
        <v>3</v>
      </c>
      <c r="C51">
        <v>9</v>
      </c>
      <c r="D51" s="2">
        <v>1000</v>
      </c>
      <c r="E51">
        <f t="shared" si="10"/>
        <v>350</v>
      </c>
      <c r="G51">
        <v>100</v>
      </c>
      <c r="H51">
        <v>100</v>
      </c>
      <c r="J51">
        <f t="shared" si="5"/>
        <v>1050</v>
      </c>
      <c r="K51">
        <f t="shared" si="6"/>
        <v>400</v>
      </c>
      <c r="L51">
        <v>0</v>
      </c>
      <c r="M51">
        <f t="shared" si="7"/>
        <v>49</v>
      </c>
      <c r="O51" t="s">
        <v>12</v>
      </c>
      <c r="P51" t="str">
        <f t="shared" si="8"/>
        <v>&lt;&amp;key_physical_attrs 100 100 1050 400 1050 400 0 &gt;</v>
      </c>
    </row>
    <row r="52" spans="2:16" x14ac:dyDescent="0.15">
      <c r="B52" s="4">
        <v>3</v>
      </c>
      <c r="C52">
        <v>10</v>
      </c>
      <c r="D52" s="2">
        <v>1100</v>
      </c>
      <c r="E52">
        <f t="shared" si="10"/>
        <v>300</v>
      </c>
      <c r="G52">
        <v>100</v>
      </c>
      <c r="H52">
        <v>100</v>
      </c>
      <c r="J52">
        <f t="shared" si="5"/>
        <v>1150</v>
      </c>
      <c r="K52">
        <f t="shared" si="6"/>
        <v>350</v>
      </c>
      <c r="L52">
        <v>0</v>
      </c>
      <c r="M52">
        <f t="shared" si="7"/>
        <v>50</v>
      </c>
      <c r="O52" t="s">
        <v>12</v>
      </c>
      <c r="P52" t="str">
        <f t="shared" si="8"/>
        <v>&lt;&amp;key_physical_attrs 100 100 1150 350 1150 350 0 &gt;</v>
      </c>
    </row>
    <row r="53" spans="2:16" x14ac:dyDescent="0.15">
      <c r="B53" s="4">
        <v>3</v>
      </c>
      <c r="C53">
        <v>11</v>
      </c>
      <c r="D53" s="2">
        <v>1200</v>
      </c>
      <c r="E53">
        <f t="shared" si="10"/>
        <v>325</v>
      </c>
      <c r="G53">
        <v>100</v>
      </c>
      <c r="H53">
        <v>100</v>
      </c>
      <c r="J53">
        <f t="shared" si="5"/>
        <v>1250</v>
      </c>
      <c r="K53">
        <f t="shared" si="6"/>
        <v>375</v>
      </c>
      <c r="L53">
        <v>0</v>
      </c>
      <c r="M53">
        <f t="shared" si="7"/>
        <v>51</v>
      </c>
      <c r="O53" t="s">
        <v>12</v>
      </c>
      <c r="P53" t="str">
        <f t="shared" si="8"/>
        <v>&lt;&amp;key_physical_attrs 100 100 1250 375 1250 375 0 &gt;</v>
      </c>
    </row>
    <row r="54" spans="2:16" x14ac:dyDescent="0.15">
      <c r="B54" s="4">
        <v>3</v>
      </c>
      <c r="C54">
        <v>12</v>
      </c>
      <c r="D54" s="2">
        <v>1300</v>
      </c>
      <c r="E54">
        <f t="shared" si="10"/>
        <v>350</v>
      </c>
      <c r="G54">
        <v>100</v>
      </c>
      <c r="H54">
        <v>100</v>
      </c>
      <c r="J54">
        <f t="shared" si="5"/>
        <v>1350</v>
      </c>
      <c r="K54">
        <f t="shared" si="6"/>
        <v>400</v>
      </c>
      <c r="L54">
        <v>0</v>
      </c>
      <c r="M54">
        <f t="shared" si="7"/>
        <v>52</v>
      </c>
      <c r="O54" t="s">
        <v>12</v>
      </c>
      <c r="P54" t="str">
        <f t="shared" si="8"/>
        <v>&lt;&amp;key_physical_attrs 100 100 1350 400 1350 400 0 &gt;</v>
      </c>
    </row>
    <row r="55" spans="2:16" x14ac:dyDescent="0.15">
      <c r="B55" s="4">
        <v>3</v>
      </c>
      <c r="C55">
        <v>13</v>
      </c>
      <c r="D55" s="2">
        <v>1400</v>
      </c>
      <c r="E55">
        <f t="shared" si="10"/>
        <v>350</v>
      </c>
      <c r="G55">
        <v>100</v>
      </c>
      <c r="H55">
        <v>100</v>
      </c>
      <c r="J55">
        <f t="shared" si="5"/>
        <v>1450</v>
      </c>
      <c r="K55">
        <f t="shared" si="6"/>
        <v>400</v>
      </c>
      <c r="L55">
        <v>0</v>
      </c>
      <c r="M55">
        <f t="shared" si="7"/>
        <v>53</v>
      </c>
      <c r="O55" t="s">
        <v>12</v>
      </c>
      <c r="P55" t="str">
        <f t="shared" si="8"/>
        <v>&lt;&amp;key_physical_attrs 100 100 1450 400 1450 400 0 &gt;</v>
      </c>
    </row>
    <row r="56" spans="2:16" x14ac:dyDescent="0.15">
      <c r="B56" s="4">
        <v>4</v>
      </c>
      <c r="C56">
        <v>0</v>
      </c>
      <c r="D56">
        <v>0</v>
      </c>
      <c r="E56">
        <v>450</v>
      </c>
      <c r="G56">
        <v>100</v>
      </c>
      <c r="H56">
        <v>100</v>
      </c>
      <c r="J56">
        <f t="shared" si="5"/>
        <v>50</v>
      </c>
      <c r="K56">
        <f t="shared" si="6"/>
        <v>500</v>
      </c>
      <c r="L56">
        <v>0</v>
      </c>
      <c r="M56">
        <f t="shared" si="7"/>
        <v>54</v>
      </c>
      <c r="O56" t="s">
        <v>12</v>
      </c>
      <c r="P56" t="str">
        <f t="shared" si="8"/>
        <v>&lt;&amp;key_physical_attrs 100 100 50 500 50 500 0 &gt;</v>
      </c>
    </row>
    <row r="57" spans="2:16" x14ac:dyDescent="0.15">
      <c r="B57" s="4">
        <v>4</v>
      </c>
      <c r="C57">
        <v>1</v>
      </c>
      <c r="D57">
        <v>100</v>
      </c>
      <c r="E57">
        <v>450</v>
      </c>
      <c r="G57">
        <v>100</v>
      </c>
      <c r="H57">
        <v>100</v>
      </c>
      <c r="J57">
        <f t="shared" si="5"/>
        <v>150</v>
      </c>
      <c r="K57">
        <f t="shared" si="6"/>
        <v>500</v>
      </c>
      <c r="L57">
        <v>0</v>
      </c>
      <c r="M57">
        <f t="shared" si="7"/>
        <v>55</v>
      </c>
      <c r="O57" t="s">
        <v>12</v>
      </c>
      <c r="P57" t="str">
        <f t="shared" si="8"/>
        <v>&lt;&amp;key_physical_attrs 100 100 150 500 150 500 0 &gt;</v>
      </c>
    </row>
    <row r="58" spans="2:16" x14ac:dyDescent="0.15">
      <c r="B58" s="4">
        <v>4</v>
      </c>
      <c r="C58">
        <v>3</v>
      </c>
      <c r="D58">
        <v>250</v>
      </c>
      <c r="E58">
        <v>475</v>
      </c>
      <c r="G58">
        <v>100</v>
      </c>
      <c r="H58">
        <v>100</v>
      </c>
      <c r="J58">
        <f t="shared" si="5"/>
        <v>300</v>
      </c>
      <c r="K58">
        <f t="shared" si="6"/>
        <v>525</v>
      </c>
      <c r="L58">
        <v>0</v>
      </c>
      <c r="M58">
        <f t="shared" si="7"/>
        <v>56</v>
      </c>
      <c r="O58" t="s">
        <v>12</v>
      </c>
      <c r="P58" t="str">
        <f t="shared" si="8"/>
        <v>&lt;&amp;key_physical_attrs 100 100 300 525 300 525 0 &gt;</v>
      </c>
    </row>
    <row r="59" spans="2:16" x14ac:dyDescent="0.15">
      <c r="B59" s="4">
        <v>4</v>
      </c>
      <c r="C59" s="2">
        <v>4</v>
      </c>
      <c r="D59" s="2">
        <v>375</v>
      </c>
      <c r="E59" s="2">
        <v>500</v>
      </c>
      <c r="G59">
        <v>100</v>
      </c>
      <c r="H59">
        <v>100</v>
      </c>
      <c r="J59">
        <f t="shared" si="5"/>
        <v>425</v>
      </c>
      <c r="K59">
        <f t="shared" si="6"/>
        <v>550</v>
      </c>
      <c r="L59">
        <v>0</v>
      </c>
      <c r="M59">
        <f t="shared" si="7"/>
        <v>57</v>
      </c>
      <c r="O59" t="s">
        <v>12</v>
      </c>
      <c r="P59" t="str">
        <f t="shared" si="8"/>
        <v>&lt;&amp;key_physical_attrs 100 100 425 550 425 550 0 &gt;</v>
      </c>
    </row>
    <row r="60" spans="2:16" x14ac:dyDescent="0.15">
      <c r="B60" s="4">
        <v>4</v>
      </c>
      <c r="C60" s="2">
        <v>5</v>
      </c>
      <c r="D60" s="2">
        <v>500</v>
      </c>
      <c r="E60" s="2">
        <v>450</v>
      </c>
      <c r="G60">
        <v>100</v>
      </c>
      <c r="H60">
        <v>100</v>
      </c>
      <c r="J60">
        <f t="shared" si="5"/>
        <v>550</v>
      </c>
      <c r="K60">
        <f t="shared" si="6"/>
        <v>500</v>
      </c>
      <c r="L60">
        <v>0</v>
      </c>
      <c r="M60">
        <f t="shared" si="7"/>
        <v>58</v>
      </c>
      <c r="O60" t="s">
        <v>12</v>
      </c>
      <c r="P60" t="str">
        <f t="shared" si="8"/>
        <v>&lt;&amp;key_physical_attrs 100 100 550 500 550 500 0 &gt;</v>
      </c>
    </row>
    <row r="61" spans="2:16" x14ac:dyDescent="0.15">
      <c r="B61" s="4">
        <v>4</v>
      </c>
      <c r="C61" s="2">
        <v>6</v>
      </c>
      <c r="D61" s="2">
        <v>600</v>
      </c>
      <c r="E61" s="2">
        <v>550</v>
      </c>
      <c r="G61">
        <v>100</v>
      </c>
      <c r="H61">
        <v>100</v>
      </c>
      <c r="J61">
        <f t="shared" si="5"/>
        <v>650</v>
      </c>
      <c r="K61">
        <f t="shared" si="6"/>
        <v>600</v>
      </c>
      <c r="L61">
        <v>0</v>
      </c>
      <c r="M61">
        <f t="shared" si="7"/>
        <v>59</v>
      </c>
      <c r="O61" t="s">
        <v>12</v>
      </c>
      <c r="P61" t="str">
        <f t="shared" si="8"/>
        <v>&lt;&amp;key_physical_attrs 100 100 650 600 650 600 0 &gt;</v>
      </c>
    </row>
    <row r="62" spans="2:16" x14ac:dyDescent="0.15">
      <c r="B62" s="4">
        <v>4</v>
      </c>
      <c r="C62" s="2">
        <v>7</v>
      </c>
      <c r="D62" s="2">
        <v>800</v>
      </c>
      <c r="E62" s="2">
        <f>E61</f>
        <v>550</v>
      </c>
      <c r="G62">
        <v>100</v>
      </c>
      <c r="H62">
        <v>100</v>
      </c>
      <c r="J62">
        <f t="shared" si="5"/>
        <v>850</v>
      </c>
      <c r="K62">
        <f t="shared" si="6"/>
        <v>600</v>
      </c>
      <c r="L62">
        <v>0</v>
      </c>
      <c r="M62">
        <f t="shared" si="7"/>
        <v>60</v>
      </c>
      <c r="O62" t="s">
        <v>12</v>
      </c>
      <c r="P62" t="str">
        <f t="shared" si="8"/>
        <v>&lt;&amp;key_physical_attrs 100 100 850 600 850 600 0 &gt;</v>
      </c>
    </row>
    <row r="63" spans="2:16" x14ac:dyDescent="0.15">
      <c r="B63" s="4">
        <v>4</v>
      </c>
      <c r="C63" s="2">
        <v>8</v>
      </c>
      <c r="D63" s="2">
        <v>900</v>
      </c>
      <c r="E63" s="2">
        <f>E60</f>
        <v>450</v>
      </c>
      <c r="G63">
        <v>100</v>
      </c>
      <c r="H63">
        <v>100</v>
      </c>
      <c r="J63">
        <f t="shared" si="5"/>
        <v>950</v>
      </c>
      <c r="K63">
        <f t="shared" si="6"/>
        <v>500</v>
      </c>
      <c r="L63">
        <v>0</v>
      </c>
      <c r="M63">
        <f t="shared" si="7"/>
        <v>61</v>
      </c>
      <c r="O63" t="s">
        <v>12</v>
      </c>
      <c r="P63" t="str">
        <f t="shared" si="8"/>
        <v>&lt;&amp;key_physical_attrs 100 100 950 500 950 500 0 &gt;</v>
      </c>
    </row>
    <row r="64" spans="2:16" x14ac:dyDescent="0.15">
      <c r="B64" s="4">
        <v>4</v>
      </c>
      <c r="C64" s="2">
        <v>10</v>
      </c>
      <c r="D64" s="2">
        <v>1025</v>
      </c>
      <c r="E64" s="2">
        <f>E59</f>
        <v>500</v>
      </c>
      <c r="G64">
        <v>100</v>
      </c>
      <c r="H64">
        <v>100</v>
      </c>
      <c r="J64">
        <f t="shared" si="5"/>
        <v>1075</v>
      </c>
      <c r="K64">
        <f t="shared" si="6"/>
        <v>550</v>
      </c>
      <c r="L64">
        <v>0</v>
      </c>
      <c r="M64">
        <f t="shared" si="7"/>
        <v>62</v>
      </c>
      <c r="O64" t="s">
        <v>12</v>
      </c>
      <c r="P64" t="str">
        <f t="shared" si="8"/>
        <v>&lt;&amp;key_physical_attrs 100 100 1075 550 1075 550 0 &gt;</v>
      </c>
    </row>
    <row r="65" spans="2:16" x14ac:dyDescent="0.15">
      <c r="B65" s="4">
        <v>4</v>
      </c>
      <c r="C65" s="2">
        <v>11</v>
      </c>
      <c r="D65" s="2">
        <v>1150</v>
      </c>
      <c r="E65" s="2">
        <f>E58</f>
        <v>475</v>
      </c>
      <c r="G65">
        <v>100</v>
      </c>
      <c r="H65">
        <v>100</v>
      </c>
      <c r="J65">
        <f t="shared" si="5"/>
        <v>1200</v>
      </c>
      <c r="K65">
        <f t="shared" si="6"/>
        <v>525</v>
      </c>
      <c r="L65">
        <v>0</v>
      </c>
      <c r="M65">
        <f t="shared" si="7"/>
        <v>63</v>
      </c>
      <c r="O65" t="s">
        <v>12</v>
      </c>
      <c r="P65" t="str">
        <f t="shared" si="8"/>
        <v>&lt;&amp;key_physical_attrs 100 100 1200 525 1200 525 0 &gt;</v>
      </c>
    </row>
    <row r="66" spans="2:16" x14ac:dyDescent="0.15">
      <c r="B66" s="4">
        <v>4</v>
      </c>
      <c r="C66" s="2">
        <v>12</v>
      </c>
      <c r="D66" s="2">
        <v>1300</v>
      </c>
      <c r="E66" s="2">
        <f>E57</f>
        <v>450</v>
      </c>
      <c r="G66">
        <v>100</v>
      </c>
      <c r="H66">
        <v>100</v>
      </c>
      <c r="J66">
        <f t="shared" si="5"/>
        <v>1350</v>
      </c>
      <c r="K66">
        <f t="shared" si="6"/>
        <v>500</v>
      </c>
      <c r="L66">
        <v>0</v>
      </c>
      <c r="M66">
        <f t="shared" si="7"/>
        <v>64</v>
      </c>
      <c r="O66" t="s">
        <v>12</v>
      </c>
      <c r="P66" t="str">
        <f t="shared" si="8"/>
        <v>&lt;&amp;key_physical_attrs 100 100 1350 500 1350 500 0 &gt;</v>
      </c>
    </row>
    <row r="67" spans="2:16" x14ac:dyDescent="0.15">
      <c r="B67" s="4">
        <v>4</v>
      </c>
      <c r="C67" s="2">
        <v>13</v>
      </c>
      <c r="D67" s="2">
        <v>1400</v>
      </c>
      <c r="E67" s="2">
        <f>E56</f>
        <v>450</v>
      </c>
      <c r="G67">
        <v>100</v>
      </c>
      <c r="H67">
        <v>100</v>
      </c>
      <c r="J67">
        <f t="shared" si="5"/>
        <v>1450</v>
      </c>
      <c r="K67">
        <f t="shared" si="6"/>
        <v>500</v>
      </c>
      <c r="L67">
        <v>0</v>
      </c>
      <c r="M67">
        <f t="shared" si="7"/>
        <v>65</v>
      </c>
      <c r="O67" t="s">
        <v>12</v>
      </c>
      <c r="P67" t="str">
        <f t="shared" si="8"/>
        <v>&lt;&amp;key_physical_attrs 100 100 1450 500 1450 500 0 &gt;</v>
      </c>
    </row>
    <row r="68" spans="2:16" x14ac:dyDescent="0.15">
      <c r="B68" s="2"/>
      <c r="C68" s="2"/>
      <c r="D68" s="2"/>
      <c r="E68" s="2"/>
      <c r="O68" t="s">
        <v>13</v>
      </c>
    </row>
    <row r="69" spans="2:16" x14ac:dyDescent="0.15">
      <c r="B69" s="2"/>
      <c r="C69" s="2"/>
      <c r="D69" s="2"/>
      <c r="E69" s="2"/>
    </row>
    <row r="70" spans="2:16" x14ac:dyDescent="0.15">
      <c r="B70" s="2"/>
      <c r="C70" s="2"/>
      <c r="D70" s="2"/>
      <c r="E70" s="2"/>
    </row>
    <row r="71" spans="2:16" x14ac:dyDescent="0.15">
      <c r="B71" s="2"/>
      <c r="C71" s="2"/>
      <c r="D71" s="2"/>
      <c r="E71" s="2"/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0"/>
  <sheetViews>
    <sheetView topLeftCell="A40" workbookViewId="0">
      <selection sqref="A1:XFD6"/>
    </sheetView>
  </sheetViews>
  <sheetFormatPr defaultRowHeight="13.5" x14ac:dyDescent="0.15"/>
  <sheetData>
    <row r="1" spans="1:2" x14ac:dyDescent="0.15">
      <c r="A1" t="s">
        <v>15</v>
      </c>
      <c r="B1" t="s">
        <v>16</v>
      </c>
    </row>
    <row r="2" spans="1:2" x14ac:dyDescent="0.15">
      <c r="A2" t="s">
        <v>17</v>
      </c>
      <c r="B2" t="s">
        <v>18</v>
      </c>
    </row>
    <row r="3" spans="1:2" x14ac:dyDescent="0.15">
      <c r="A3" t="s">
        <v>17</v>
      </c>
      <c r="B3" t="s">
        <v>19</v>
      </c>
    </row>
    <row r="4" spans="1:2" x14ac:dyDescent="0.15">
      <c r="A4" t="s">
        <v>17</v>
      </c>
      <c r="B4" t="s">
        <v>20</v>
      </c>
    </row>
    <row r="5" spans="1:2" x14ac:dyDescent="0.15">
      <c r="A5" t="s">
        <v>17</v>
      </c>
      <c r="B5" t="s">
        <v>21</v>
      </c>
    </row>
    <row r="6" spans="1:2" x14ac:dyDescent="0.15">
      <c r="A6" t="s">
        <v>17</v>
      </c>
      <c r="B6" t="s">
        <v>22</v>
      </c>
    </row>
    <row r="7" spans="1:2" x14ac:dyDescent="0.15">
      <c r="A7" t="s">
        <v>17</v>
      </c>
      <c r="B7" t="s">
        <v>23</v>
      </c>
    </row>
    <row r="8" spans="1:2" x14ac:dyDescent="0.15">
      <c r="A8" t="s">
        <v>17</v>
      </c>
      <c r="B8" t="s">
        <v>24</v>
      </c>
    </row>
    <row r="9" spans="1:2" x14ac:dyDescent="0.15">
      <c r="A9" t="s">
        <v>17</v>
      </c>
      <c r="B9" t="s">
        <v>25</v>
      </c>
    </row>
    <row r="10" spans="1:2" x14ac:dyDescent="0.15">
      <c r="A10" t="s">
        <v>17</v>
      </c>
      <c r="B10" t="s">
        <v>26</v>
      </c>
    </row>
    <row r="11" spans="1:2" x14ac:dyDescent="0.15">
      <c r="A11" t="s">
        <v>17</v>
      </c>
      <c r="B11" t="s">
        <v>27</v>
      </c>
    </row>
    <row r="12" spans="1:2" x14ac:dyDescent="0.15">
      <c r="A12" t="s">
        <v>17</v>
      </c>
      <c r="B12" t="s">
        <v>28</v>
      </c>
    </row>
    <row r="13" spans="1:2" x14ac:dyDescent="0.15">
      <c r="A13" t="s">
        <v>17</v>
      </c>
      <c r="B13" t="s">
        <v>29</v>
      </c>
    </row>
    <row r="14" spans="1:2" x14ac:dyDescent="0.15">
      <c r="A14" t="s">
        <v>17</v>
      </c>
      <c r="B14" t="s">
        <v>30</v>
      </c>
    </row>
    <row r="15" spans="1:2" x14ac:dyDescent="0.15">
      <c r="A15" t="s">
        <v>17</v>
      </c>
      <c r="B15" t="s">
        <v>31</v>
      </c>
    </row>
    <row r="16" spans="1:2" x14ac:dyDescent="0.15">
      <c r="A16" t="s">
        <v>17</v>
      </c>
      <c r="B16" t="s">
        <v>32</v>
      </c>
    </row>
    <row r="17" spans="1:2" x14ac:dyDescent="0.15">
      <c r="A17" t="s">
        <v>17</v>
      </c>
      <c r="B17" t="s">
        <v>33</v>
      </c>
    </row>
    <row r="18" spans="1:2" x14ac:dyDescent="0.15">
      <c r="A18" t="s">
        <v>17</v>
      </c>
      <c r="B18" t="s">
        <v>34</v>
      </c>
    </row>
    <row r="19" spans="1:2" x14ac:dyDescent="0.15">
      <c r="A19" t="s">
        <v>17</v>
      </c>
      <c r="B19" t="s">
        <v>35</v>
      </c>
    </row>
    <row r="20" spans="1:2" x14ac:dyDescent="0.15">
      <c r="A20" t="s">
        <v>17</v>
      </c>
      <c r="B20" t="s">
        <v>36</v>
      </c>
    </row>
    <row r="21" spans="1:2" x14ac:dyDescent="0.15">
      <c r="A21" t="s">
        <v>17</v>
      </c>
      <c r="B21" t="s">
        <v>37</v>
      </c>
    </row>
    <row r="22" spans="1:2" x14ac:dyDescent="0.15">
      <c r="A22" t="s">
        <v>17</v>
      </c>
      <c r="B22" t="s">
        <v>38</v>
      </c>
    </row>
    <row r="23" spans="1:2" x14ac:dyDescent="0.15">
      <c r="A23" t="s">
        <v>17</v>
      </c>
      <c r="B23" t="s">
        <v>39</v>
      </c>
    </row>
    <row r="24" spans="1:2" x14ac:dyDescent="0.15">
      <c r="A24" t="s">
        <v>17</v>
      </c>
      <c r="B24" t="s">
        <v>40</v>
      </c>
    </row>
    <row r="25" spans="1:2" x14ac:dyDescent="0.15">
      <c r="A25" t="s">
        <v>17</v>
      </c>
      <c r="B25" t="s">
        <v>41</v>
      </c>
    </row>
    <row r="26" spans="1:2" x14ac:dyDescent="0.15">
      <c r="A26" t="s">
        <v>17</v>
      </c>
      <c r="B26" t="s">
        <v>42</v>
      </c>
    </row>
    <row r="27" spans="1:2" x14ac:dyDescent="0.15">
      <c r="A27" t="s">
        <v>17</v>
      </c>
      <c r="B27" t="s">
        <v>43</v>
      </c>
    </row>
    <row r="28" spans="1:2" x14ac:dyDescent="0.15">
      <c r="A28" t="s">
        <v>17</v>
      </c>
      <c r="B28" t="s">
        <v>44</v>
      </c>
    </row>
    <row r="29" spans="1:2" x14ac:dyDescent="0.15">
      <c r="A29" t="s">
        <v>17</v>
      </c>
      <c r="B29" t="s">
        <v>45</v>
      </c>
    </row>
    <row r="30" spans="1:2" x14ac:dyDescent="0.15">
      <c r="A30" t="s">
        <v>17</v>
      </c>
      <c r="B30" t="s">
        <v>46</v>
      </c>
    </row>
    <row r="31" spans="1:2" x14ac:dyDescent="0.15">
      <c r="A31" t="s">
        <v>17</v>
      </c>
      <c r="B31" t="s">
        <v>47</v>
      </c>
    </row>
    <row r="32" spans="1:2" x14ac:dyDescent="0.15">
      <c r="A32" t="s">
        <v>17</v>
      </c>
      <c r="B32" t="s">
        <v>48</v>
      </c>
    </row>
    <row r="33" spans="1:2" x14ac:dyDescent="0.15">
      <c r="A33" t="s">
        <v>17</v>
      </c>
      <c r="B33" t="s">
        <v>49</v>
      </c>
    </row>
    <row r="34" spans="1:2" x14ac:dyDescent="0.15">
      <c r="A34" t="s">
        <v>17</v>
      </c>
      <c r="B34" t="s">
        <v>50</v>
      </c>
    </row>
    <row r="35" spans="1:2" x14ac:dyDescent="0.15">
      <c r="A35" t="s">
        <v>17</v>
      </c>
      <c r="B35" t="s">
        <v>51</v>
      </c>
    </row>
    <row r="36" spans="1:2" x14ac:dyDescent="0.15">
      <c r="A36" t="s">
        <v>17</v>
      </c>
      <c r="B36" t="s">
        <v>52</v>
      </c>
    </row>
    <row r="37" spans="1:2" x14ac:dyDescent="0.15">
      <c r="A37" t="s">
        <v>17</v>
      </c>
      <c r="B37" t="s">
        <v>53</v>
      </c>
    </row>
    <row r="38" spans="1:2" x14ac:dyDescent="0.15">
      <c r="A38" t="s">
        <v>17</v>
      </c>
      <c r="B38" t="s">
        <v>54</v>
      </c>
    </row>
    <row r="39" spans="1:2" x14ac:dyDescent="0.15">
      <c r="A39" t="s">
        <v>17</v>
      </c>
      <c r="B39" t="s">
        <v>55</v>
      </c>
    </row>
    <row r="40" spans="1:2" x14ac:dyDescent="0.15">
      <c r="A40" t="s">
        <v>17</v>
      </c>
      <c r="B40" t="s">
        <v>56</v>
      </c>
    </row>
    <row r="41" spans="1:2" x14ac:dyDescent="0.15">
      <c r="A41" t="s">
        <v>17</v>
      </c>
      <c r="B41" t="s">
        <v>57</v>
      </c>
    </row>
    <row r="42" spans="1:2" x14ac:dyDescent="0.15">
      <c r="A42" t="s">
        <v>17</v>
      </c>
      <c r="B42" t="s">
        <v>58</v>
      </c>
    </row>
    <row r="43" spans="1:2" x14ac:dyDescent="0.15">
      <c r="A43" t="s">
        <v>17</v>
      </c>
      <c r="B43" t="s">
        <v>59</v>
      </c>
    </row>
    <row r="44" spans="1:2" x14ac:dyDescent="0.15">
      <c r="A44" t="s">
        <v>17</v>
      </c>
      <c r="B44" t="s">
        <v>60</v>
      </c>
    </row>
    <row r="45" spans="1:2" x14ac:dyDescent="0.15">
      <c r="A45" t="s">
        <v>17</v>
      </c>
      <c r="B45" t="s">
        <v>61</v>
      </c>
    </row>
    <row r="46" spans="1:2" x14ac:dyDescent="0.15">
      <c r="A46" t="s">
        <v>17</v>
      </c>
      <c r="B46" t="s">
        <v>62</v>
      </c>
    </row>
    <row r="47" spans="1:2" x14ac:dyDescent="0.15">
      <c r="A47" t="s">
        <v>17</v>
      </c>
      <c r="B47" t="s">
        <v>63</v>
      </c>
    </row>
    <row r="48" spans="1:2" x14ac:dyDescent="0.15">
      <c r="A48" t="s">
        <v>17</v>
      </c>
      <c r="B48" t="s">
        <v>64</v>
      </c>
    </row>
    <row r="49" spans="1:2" x14ac:dyDescent="0.15">
      <c r="A49" t="s">
        <v>17</v>
      </c>
      <c r="B49" t="s">
        <v>65</v>
      </c>
    </row>
    <row r="50" spans="1:2" x14ac:dyDescent="0.15">
      <c r="A50" t="s">
        <v>17</v>
      </c>
      <c r="B50" t="s">
        <v>66</v>
      </c>
    </row>
    <row r="51" spans="1:2" x14ac:dyDescent="0.15">
      <c r="A51" t="s">
        <v>17</v>
      </c>
      <c r="B51" t="s">
        <v>67</v>
      </c>
    </row>
    <row r="52" spans="1:2" x14ac:dyDescent="0.15">
      <c r="A52" t="s">
        <v>17</v>
      </c>
      <c r="B52" t="s">
        <v>68</v>
      </c>
    </row>
    <row r="53" spans="1:2" x14ac:dyDescent="0.15">
      <c r="A53" t="s">
        <v>17</v>
      </c>
      <c r="B53" t="s">
        <v>69</v>
      </c>
    </row>
    <row r="54" spans="1:2" x14ac:dyDescent="0.15">
      <c r="A54" t="s">
        <v>17</v>
      </c>
      <c r="B54" t="s">
        <v>70</v>
      </c>
    </row>
    <row r="55" spans="1:2" x14ac:dyDescent="0.15">
      <c r="A55" t="s">
        <v>17</v>
      </c>
      <c r="B55" t="s">
        <v>71</v>
      </c>
    </row>
    <row r="56" spans="1:2" x14ac:dyDescent="0.15">
      <c r="A56" t="s">
        <v>17</v>
      </c>
      <c r="B56" t="s">
        <v>72</v>
      </c>
    </row>
    <row r="57" spans="1:2" x14ac:dyDescent="0.15">
      <c r="A57" t="s">
        <v>17</v>
      </c>
      <c r="B57" t="s">
        <v>73</v>
      </c>
    </row>
    <row r="58" spans="1:2" x14ac:dyDescent="0.15">
      <c r="A58" t="s">
        <v>17</v>
      </c>
      <c r="B58" t="s">
        <v>74</v>
      </c>
    </row>
    <row r="59" spans="1:2" x14ac:dyDescent="0.15">
      <c r="A59" t="s">
        <v>17</v>
      </c>
      <c r="B59" t="s">
        <v>75</v>
      </c>
    </row>
    <row r="60" spans="1:2" x14ac:dyDescent="0.15">
      <c r="A60" t="s">
        <v>17</v>
      </c>
      <c r="B60" t="s">
        <v>76</v>
      </c>
    </row>
    <row r="61" spans="1:2" x14ac:dyDescent="0.15">
      <c r="A61" t="s">
        <v>17</v>
      </c>
      <c r="B61" t="s">
        <v>77</v>
      </c>
    </row>
    <row r="62" spans="1:2" x14ac:dyDescent="0.15">
      <c r="A62" t="s">
        <v>17</v>
      </c>
      <c r="B62" t="s">
        <v>78</v>
      </c>
    </row>
    <row r="63" spans="1:2" x14ac:dyDescent="0.15">
      <c r="A63" t="s">
        <v>17</v>
      </c>
      <c r="B63" t="s">
        <v>79</v>
      </c>
    </row>
    <row r="64" spans="1:2" x14ac:dyDescent="0.15">
      <c r="A64" t="s">
        <v>17</v>
      </c>
      <c r="B64" t="s">
        <v>80</v>
      </c>
    </row>
    <row r="65" spans="1:2" x14ac:dyDescent="0.15">
      <c r="A65" t="s">
        <v>17</v>
      </c>
      <c r="B65" t="s">
        <v>81</v>
      </c>
    </row>
    <row r="66" spans="1:2" x14ac:dyDescent="0.15">
      <c r="A66" t="s">
        <v>17</v>
      </c>
      <c r="B66" t="s">
        <v>82</v>
      </c>
    </row>
    <row r="67" spans="1:2" x14ac:dyDescent="0.15">
      <c r="A67" t="s">
        <v>83</v>
      </c>
    </row>
    <row r="70" spans="1:2" x14ac:dyDescent="0.15">
      <c r="A70" t="s">
        <v>84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/>
  </sheetViews>
  <sheetFormatPr defaultRowHeight="13.5" x14ac:dyDescent="0.15"/>
  <sheetData>
    <row r="1" spans="1:1" x14ac:dyDescent="0.15">
      <c r="A1" t="s">
        <v>85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takumi hara</dc:creator>
  <cp:lastModifiedBy>takumi hara</cp:lastModifiedBy>
  <dcterms:created xsi:type="dcterms:W3CDTF">2026-03-24T14:09:30Z</dcterms:created>
  <dcterms:modified xsi:type="dcterms:W3CDTF">2026-03-26T23:32:13Z</dcterms:modified>
</cp:coreProperties>
</file>